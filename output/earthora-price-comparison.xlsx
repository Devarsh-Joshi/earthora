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Work\Sun\Earthorafarms\output\"/>
    </mc:Choice>
  </mc:AlternateContent>
  <xr:revisionPtr revIDLastSave="0" documentId="13_ncr:1_{2A66DFF0-E9B2-41D8-B1D4-59575585D67E}" xr6:coauthVersionLast="47" xr6:coauthVersionMax="47" xr10:uidLastSave="{00000000-0000-0000-0000-000000000000}"/>
  <bookViews>
    <workbookView xWindow="-108" yWindow="-108" windowWidth="23256" windowHeight="14616" xr2:uid="{00000000-000D-0000-FFFF-FFFF00000000}"/>
  </bookViews>
  <sheets>
    <sheet name="Price Comparison" sheetId="1" r:id="rId1"/>
    <sheet name="Platform Summary" sheetId="2" r:id="rId2"/>
    <sheet name="Sources" sheetId="3" r:id="rId3"/>
  </sheets>
  <definedNames>
    <definedName name="_xlnm._FilterDatabase" localSheetId="0" hidden="1">'Price Comparison'!$A$4:$N$49</definedName>
    <definedName name="_xlnm._FilterDatabase" localSheetId="2" hidden="1">Sources!$A$1:$K$136</definedName>
  </definedNames>
  <calcPr calcId="181029"/>
</workbook>
</file>

<file path=xl/calcChain.xml><?xml version="1.0" encoding="utf-8"?>
<calcChain xmlns="http://schemas.openxmlformats.org/spreadsheetml/2006/main">
  <c r="G7" i="2" l="1"/>
  <c r="F7" i="2"/>
  <c r="B7" i="2"/>
  <c r="G6" i="2"/>
  <c r="F6" i="2"/>
  <c r="B6" i="2"/>
  <c r="G5" i="2"/>
  <c r="F5" i="2"/>
  <c r="B5" i="2"/>
  <c r="M49" i="1"/>
  <c r="J49" i="1"/>
  <c r="K49" i="1" s="1"/>
  <c r="H49" i="1"/>
  <c r="M48" i="1"/>
  <c r="J48" i="1"/>
  <c r="K48" i="1" s="1"/>
  <c r="H48" i="1"/>
  <c r="M47" i="1"/>
  <c r="J47" i="1"/>
  <c r="K47" i="1" s="1"/>
  <c r="H47" i="1"/>
  <c r="M46" i="1"/>
  <c r="J46" i="1"/>
  <c r="K46" i="1" s="1"/>
  <c r="H46" i="1"/>
  <c r="M45" i="1"/>
  <c r="J45" i="1"/>
  <c r="K45" i="1" s="1"/>
  <c r="H45" i="1"/>
  <c r="M44" i="1"/>
  <c r="J44" i="1"/>
  <c r="K44" i="1" s="1"/>
  <c r="H44" i="1"/>
  <c r="M43" i="1"/>
  <c r="J43" i="1"/>
  <c r="K43" i="1" s="1"/>
  <c r="H43" i="1"/>
  <c r="M42" i="1"/>
  <c r="J42" i="1"/>
  <c r="K42" i="1" s="1"/>
  <c r="H42" i="1"/>
  <c r="M41" i="1"/>
  <c r="J41" i="1"/>
  <c r="K41" i="1" s="1"/>
  <c r="H41" i="1"/>
  <c r="M40" i="1"/>
  <c r="J40" i="1"/>
  <c r="K40" i="1" s="1"/>
  <c r="H40" i="1"/>
  <c r="M39" i="1"/>
  <c r="J39" i="1"/>
  <c r="K39" i="1" s="1"/>
  <c r="H39" i="1"/>
  <c r="M38" i="1"/>
  <c r="J38" i="1"/>
  <c r="K38" i="1" s="1"/>
  <c r="H38" i="1"/>
  <c r="M37" i="1"/>
  <c r="L37" i="1"/>
  <c r="J37" i="1"/>
  <c r="K37" i="1" s="1"/>
  <c r="H37" i="1"/>
  <c r="I37" i="1" s="1"/>
  <c r="M36" i="1"/>
  <c r="L36" i="1"/>
  <c r="J36" i="1"/>
  <c r="K36" i="1" s="1"/>
  <c r="H36" i="1"/>
  <c r="I36" i="1" s="1"/>
  <c r="M35" i="1"/>
  <c r="J35" i="1"/>
  <c r="K35" i="1" s="1"/>
  <c r="H35" i="1"/>
  <c r="M34" i="1"/>
  <c r="J34" i="1"/>
  <c r="K34" i="1" s="1"/>
  <c r="H34" i="1"/>
  <c r="M33" i="1"/>
  <c r="J33" i="1"/>
  <c r="K33" i="1" s="1"/>
  <c r="H33" i="1"/>
  <c r="M32" i="1"/>
  <c r="J32" i="1"/>
  <c r="K32" i="1" s="1"/>
  <c r="H32" i="1"/>
  <c r="M31" i="1"/>
  <c r="J31" i="1"/>
  <c r="K31" i="1" s="1"/>
  <c r="H31" i="1"/>
  <c r="M30" i="1"/>
  <c r="J30" i="1"/>
  <c r="K30" i="1" s="1"/>
  <c r="H30" i="1"/>
  <c r="M29" i="1"/>
  <c r="J29" i="1"/>
  <c r="K29" i="1" s="1"/>
  <c r="H29" i="1"/>
  <c r="M28" i="1"/>
  <c r="J28" i="1"/>
  <c r="K28" i="1" s="1"/>
  <c r="H28" i="1"/>
  <c r="M27" i="1"/>
  <c r="J27" i="1"/>
  <c r="K27" i="1" s="1"/>
  <c r="H27" i="1"/>
  <c r="M26" i="1"/>
  <c r="J26" i="1"/>
  <c r="K26" i="1" s="1"/>
  <c r="H26" i="1"/>
  <c r="M25" i="1"/>
  <c r="J25" i="1"/>
  <c r="K25" i="1" s="1"/>
  <c r="H25" i="1"/>
  <c r="M24" i="1"/>
  <c r="J24" i="1"/>
  <c r="K24" i="1" s="1"/>
  <c r="H24" i="1"/>
  <c r="M23" i="1"/>
  <c r="J23" i="1"/>
  <c r="K23" i="1" s="1"/>
  <c r="H23" i="1"/>
  <c r="M22" i="1"/>
  <c r="J22" i="1"/>
  <c r="K22" i="1" s="1"/>
  <c r="H22" i="1"/>
  <c r="M21" i="1"/>
  <c r="J21" i="1"/>
  <c r="K21" i="1" s="1"/>
  <c r="H21" i="1"/>
  <c r="M20" i="1"/>
  <c r="J20" i="1"/>
  <c r="H20" i="1"/>
  <c r="I20" i="1" s="1"/>
  <c r="M19" i="1"/>
  <c r="J19" i="1"/>
  <c r="K19" i="1" s="1"/>
  <c r="H19" i="1"/>
  <c r="M18" i="1"/>
  <c r="J18" i="1"/>
  <c r="K18" i="1" s="1"/>
  <c r="H18" i="1"/>
  <c r="M17" i="1"/>
  <c r="J17" i="1"/>
  <c r="K17" i="1" s="1"/>
  <c r="H17" i="1"/>
  <c r="M16" i="1"/>
  <c r="J16" i="1"/>
  <c r="K16" i="1" s="1"/>
  <c r="H16" i="1"/>
  <c r="M15" i="1"/>
  <c r="J15" i="1"/>
  <c r="K15" i="1" s="1"/>
  <c r="H15" i="1"/>
  <c r="M14" i="1"/>
  <c r="J14" i="1"/>
  <c r="K14" i="1" s="1"/>
  <c r="H14" i="1"/>
  <c r="M13" i="1"/>
  <c r="J13" i="1"/>
  <c r="K13" i="1" s="1"/>
  <c r="H13" i="1"/>
  <c r="M12" i="1"/>
  <c r="J12" i="1"/>
  <c r="K12" i="1" s="1"/>
  <c r="H12" i="1"/>
  <c r="M11" i="1"/>
  <c r="J11" i="1"/>
  <c r="K11" i="1" s="1"/>
  <c r="H11" i="1"/>
  <c r="M10" i="1"/>
  <c r="J10" i="1"/>
  <c r="K10" i="1" s="1"/>
  <c r="H10" i="1"/>
  <c r="M9" i="1"/>
  <c r="J9" i="1"/>
  <c r="K9" i="1" s="1"/>
  <c r="H9" i="1"/>
  <c r="M8" i="1"/>
  <c r="J8" i="1"/>
  <c r="K8" i="1" s="1"/>
  <c r="H8" i="1"/>
  <c r="M7" i="1"/>
  <c r="J7" i="1"/>
  <c r="K7" i="1" s="1"/>
  <c r="H7" i="1"/>
  <c r="M6" i="1"/>
  <c r="J6" i="1"/>
  <c r="K6" i="1" s="1"/>
  <c r="H6" i="1"/>
  <c r="M5" i="1"/>
  <c r="J5" i="1"/>
  <c r="K5" i="1" s="1"/>
  <c r="H5" i="1"/>
  <c r="I29" i="1" l="1"/>
  <c r="L29" i="1"/>
  <c r="K20" i="1"/>
  <c r="L20" i="1"/>
  <c r="D12" i="2"/>
  <c r="D11" i="2"/>
  <c r="I49" i="1"/>
  <c r="L49" i="1"/>
  <c r="L48" i="1"/>
  <c r="I48" i="1"/>
  <c r="L47" i="1"/>
  <c r="I47" i="1"/>
  <c r="I46" i="1"/>
  <c r="L46" i="1"/>
  <c r="L45" i="1"/>
  <c r="I45" i="1"/>
  <c r="I44" i="1"/>
  <c r="L44" i="1"/>
  <c r="L43" i="1"/>
  <c r="I43" i="1"/>
  <c r="L42" i="1"/>
  <c r="I42" i="1"/>
  <c r="I41" i="1"/>
  <c r="L41" i="1"/>
  <c r="L40" i="1"/>
  <c r="I40" i="1"/>
  <c r="L39" i="1"/>
  <c r="I39" i="1"/>
  <c r="L38" i="1"/>
  <c r="I38" i="1"/>
  <c r="I35" i="1"/>
  <c r="L35" i="1"/>
  <c r="I34" i="1"/>
  <c r="L34" i="1"/>
  <c r="I33" i="1"/>
  <c r="L33" i="1"/>
  <c r="L32" i="1"/>
  <c r="I32" i="1"/>
  <c r="L31" i="1"/>
  <c r="I31" i="1"/>
  <c r="I30" i="1"/>
  <c r="L30" i="1"/>
  <c r="L28" i="1"/>
  <c r="I28" i="1"/>
  <c r="L27" i="1"/>
  <c r="I27" i="1"/>
  <c r="L26" i="1"/>
  <c r="I26" i="1"/>
  <c r="L25" i="1"/>
  <c r="I25" i="1"/>
  <c r="I24" i="1"/>
  <c r="L24" i="1"/>
  <c r="L23" i="1"/>
  <c r="I23" i="1"/>
  <c r="I22" i="1"/>
  <c r="L22" i="1"/>
  <c r="I21" i="1"/>
  <c r="L21" i="1"/>
  <c r="L19" i="1"/>
  <c r="I19" i="1"/>
  <c r="L18" i="1"/>
  <c r="I18" i="1"/>
  <c r="L17" i="1"/>
  <c r="I17" i="1"/>
  <c r="L16" i="1"/>
  <c r="I16" i="1"/>
  <c r="L15" i="1"/>
  <c r="I15" i="1"/>
  <c r="L14" i="1"/>
  <c r="I14" i="1"/>
  <c r="I13" i="1"/>
  <c r="L13" i="1"/>
  <c r="L12" i="1"/>
  <c r="I12" i="1"/>
  <c r="L11" i="1"/>
  <c r="I11" i="1"/>
  <c r="L10" i="1"/>
  <c r="I10" i="1"/>
  <c r="L9" i="1"/>
  <c r="I9" i="1"/>
  <c r="I8" i="1"/>
  <c r="L8" i="1"/>
  <c r="L7" i="1"/>
  <c r="I7" i="1"/>
  <c r="L6" i="1"/>
  <c r="I6" i="1"/>
  <c r="L5" i="1"/>
  <c r="I5" i="1"/>
  <c r="D13" i="2"/>
  <c r="E13" i="2" s="1"/>
  <c r="D6" i="2" l="1"/>
  <c r="D7" i="2"/>
  <c r="D5" i="2"/>
  <c r="C5" i="2"/>
  <c r="C7" i="2"/>
  <c r="C6" i="2"/>
  <c r="E6" i="2" l="1"/>
  <c r="E7" i="2"/>
  <c r="D10" i="2"/>
  <c r="E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D5" authorId="0" shapeId="0" xr:uid="{00000000-0006-0000-0000-000001000000}">
      <text>
        <r>
          <rPr>
            <sz val="11"/>
            <color theme="1"/>
            <rFont val="Calibri"/>
            <family val="2"/>
            <scheme val="minor"/>
          </rPr>
          <t>Listed price on earthorafarms.com (100 g pack), 26 Oct 2026.</t>
        </r>
      </text>
    </comment>
    <comment ref="E5" authorId="0" shapeId="0" xr:uid="{00000000-0006-0000-0000-000002000000}">
      <text>
        <r>
          <rPr>
            <sz val="11"/>
            <color theme="1"/>
            <rFont val="Calibri"/>
            <family val="2"/>
            <scheme val="minor"/>
          </rPr>
          <t>ORGANIC INDIA (A TATA Product) Moringa Powder 100g</t>
        </r>
      </text>
    </comment>
    <comment ref="F5" authorId="0" shapeId="0" xr:uid="{00000000-0006-0000-0000-000003000000}">
      <text>
        <r>
          <rPr>
            <sz val="11"/>
            <color theme="1"/>
            <rFont val="Calibri"/>
            <family val="2"/>
            <scheme val="minor"/>
          </rPr>
          <t>Trivang Organic Moringa Leaf Powder For Weight Loss, Powerful Vitamins &amp; Antioxidants</t>
        </r>
      </text>
    </comment>
    <comment ref="G5" authorId="0" shapeId="0" xr:uid="{00000000-0006-0000-0000-000004000000}">
      <text>
        <r>
          <rPr>
            <sz val="11"/>
            <color theme="1"/>
            <rFont val="Calibri"/>
            <family val="2"/>
            <scheme val="minor"/>
          </rPr>
          <t>Organic India Moringa Powder 100 g Tin</t>
        </r>
      </text>
    </comment>
    <comment ref="E6" authorId="0" shapeId="0" xr:uid="{00000000-0006-0000-0000-000005000000}">
      <text>
        <r>
          <rPr>
            <sz val="11"/>
            <color theme="1"/>
            <rFont val="Calibri"/>
            <family val="2"/>
            <scheme val="minor"/>
          </rPr>
          <t>Neuherbs Ashwagandha Powder 100 g</t>
        </r>
      </text>
    </comment>
    <comment ref="F6" authorId="0" shapeId="0" xr:uid="{00000000-0006-0000-0000-000006000000}">
      <text>
        <r>
          <rPr>
            <sz val="11"/>
            <color theme="1"/>
            <rFont val="Calibri"/>
            <family val="2"/>
            <scheme val="minor"/>
          </rPr>
          <t>Trivang 100% Natural Ashwagandha Powder- Withania Somnifera (100g)</t>
        </r>
      </text>
    </comment>
    <comment ref="G6" authorId="0" shapeId="0" xr:uid="{00000000-0006-0000-0000-000007000000}">
      <text>
        <r>
          <rPr>
            <sz val="11"/>
            <color theme="1"/>
            <rFont val="Calibri"/>
            <family val="2"/>
            <scheme val="minor"/>
          </rPr>
          <t>Kapiva Organic Ashwagandha Powder 100 g</t>
        </r>
      </text>
    </comment>
    <comment ref="E7" authorId="0" shapeId="0" xr:uid="{00000000-0006-0000-0000-000008000000}">
      <text>
        <r>
          <rPr>
            <sz val="11"/>
            <color theme="1"/>
            <rFont val="Calibri"/>
            <family val="2"/>
            <scheme val="minor"/>
          </rPr>
          <t>INDUS VALLEY Bio Organic Amla Powder (Indian Gooseberry) 100g</t>
        </r>
      </text>
    </comment>
    <comment ref="F7" authorId="0" shapeId="0" xr:uid="{00000000-0006-0000-0000-000009000000}">
      <text>
        <r>
          <rPr>
            <sz val="11"/>
            <color theme="1"/>
            <rFont val="Calibri"/>
            <family val="2"/>
            <scheme val="minor"/>
          </rPr>
          <t>Ventina Organics Amla Indian Gooseberry Powder for eating and hair growth</t>
        </r>
      </text>
    </comment>
    <comment ref="G7" authorId="0" shapeId="0" xr:uid="{00000000-0006-0000-0000-00000A000000}">
      <text>
        <r>
          <rPr>
            <sz val="11"/>
            <color theme="1"/>
            <rFont val="Calibri"/>
            <family val="2"/>
            <scheme val="minor"/>
          </rPr>
          <t>bb Royal Organic Amla Powder 100 g</t>
        </r>
      </text>
    </comment>
    <comment ref="E8" authorId="0" shapeId="0" xr:uid="{00000000-0006-0000-0000-00000B000000}">
      <text>
        <r>
          <rPr>
            <sz val="11"/>
            <color theme="1"/>
            <rFont val="Calibri"/>
            <family val="2"/>
            <scheme val="minor"/>
          </rPr>
          <t>CARMEL ORGANICS Shatavari Root Powder 100 Grams</t>
        </r>
      </text>
    </comment>
    <comment ref="F8" authorId="0" shapeId="0" xr:uid="{00000000-0006-0000-0000-00000C000000}">
      <text>
        <r>
          <rPr>
            <sz val="11"/>
            <color theme="1"/>
            <rFont val="Calibri"/>
            <family val="2"/>
            <scheme val="minor"/>
          </rPr>
          <t>Humanveda Shatavari Asparagus Racemosus Root Powder Supports Healthy Infant Growth</t>
        </r>
      </text>
    </comment>
    <comment ref="E9" authorId="0" shapeId="0" xr:uid="{00000000-0006-0000-0000-00000D000000}">
      <text>
        <r>
          <rPr>
            <sz val="11"/>
            <color theme="1"/>
            <rFont val="Calibri"/>
            <family val="2"/>
            <scheme val="minor"/>
          </rPr>
          <t>Neuherbs Spirulina Powder 100 g</t>
        </r>
      </text>
    </comment>
    <comment ref="F9" authorId="0" shapeId="0" xr:uid="{00000000-0006-0000-0000-00000E000000}">
      <text>
        <r>
          <rPr>
            <sz val="11"/>
            <color theme="1"/>
            <rFont val="Calibri"/>
            <family val="2"/>
            <scheme val="minor"/>
          </rPr>
          <t>Neuherbs Spirulina Powder | 100% Pure &amp; Natural</t>
        </r>
      </text>
    </comment>
    <comment ref="G9" authorId="0" shapeId="0" xr:uid="{00000000-0006-0000-0000-00000F000000}">
      <text>
        <r>
          <rPr>
            <sz val="11"/>
            <color theme="1"/>
            <rFont val="Calibri"/>
            <family val="2"/>
            <scheme val="minor"/>
          </rPr>
          <t>Scaled from 70 g @ ₹175.77: Nutty Yogi Spirulina Powder 70 g</t>
        </r>
      </text>
    </comment>
    <comment ref="E10" authorId="0" shapeId="0" xr:uid="{00000000-0006-0000-0000-000010000000}">
      <text>
        <r>
          <rPr>
            <sz val="11"/>
            <color theme="1"/>
            <rFont val="Calibri"/>
            <family val="2"/>
            <scheme val="minor"/>
          </rPr>
          <t>Organic India (A TATA Product) Wheat Grass Powder - 100 g</t>
        </r>
      </text>
    </comment>
    <comment ref="F10" authorId="0" shapeId="0" xr:uid="{00000000-0006-0000-0000-000011000000}">
      <text>
        <r>
          <rPr>
            <sz val="11"/>
            <color theme="1"/>
            <rFont val="Calibri"/>
            <family val="2"/>
            <scheme val="minor"/>
          </rPr>
          <t>ORGANIC INDIA Wheat Grass Powder</t>
        </r>
      </text>
    </comment>
    <comment ref="G10" authorId="0" shapeId="0" xr:uid="{00000000-0006-0000-0000-000012000000}">
      <text>
        <r>
          <rPr>
            <sz val="11"/>
            <color theme="1"/>
            <rFont val="Calibri"/>
            <family val="2"/>
            <scheme val="minor"/>
          </rPr>
          <t>Patanjali Wheat Grass 100 g</t>
        </r>
      </text>
    </comment>
    <comment ref="E11" authorId="0" shapeId="0" xr:uid="{00000000-0006-0000-0000-000013000000}">
      <text>
        <r>
          <rPr>
            <sz val="11"/>
            <color theme="1"/>
            <rFont val="Calibri"/>
            <family val="2"/>
            <scheme val="minor"/>
          </rPr>
          <t>Holy Natural Beet Root Powder - 100 Gm</t>
        </r>
      </text>
    </comment>
    <comment ref="F11" authorId="0" shapeId="0" xr:uid="{00000000-0006-0000-0000-000014000000}">
      <text>
        <r>
          <rPr>
            <sz val="11"/>
            <color theme="1"/>
            <rFont val="Calibri"/>
            <family val="2"/>
            <scheme val="minor"/>
          </rPr>
          <t>OurHerb Pure &amp; Natural Beetroot powder for Health, Skin &amp; Hair with Wooden Spoon - 100g</t>
        </r>
      </text>
    </comment>
    <comment ref="G11" authorId="0" shapeId="0" xr:uid="{00000000-0006-0000-0000-000015000000}">
      <text>
        <r>
          <rPr>
            <sz val="11"/>
            <color theme="1"/>
            <rFont val="Calibri"/>
            <family val="2"/>
            <scheme val="minor"/>
          </rPr>
          <t>Praakritik Organic Beetroot Powder 100 g</t>
        </r>
      </text>
    </comment>
    <comment ref="E12" authorId="0" shapeId="0" xr:uid="{00000000-0006-0000-0000-000016000000}">
      <text>
        <r>
          <rPr>
            <sz val="11"/>
            <color theme="1"/>
            <rFont val="Calibri"/>
            <family val="2"/>
            <scheme val="minor"/>
          </rPr>
          <t>INDUS VALLEY 100% Natural Pure Mulethi Powder (Yashtimadhu/Liquorice)</t>
        </r>
      </text>
    </comment>
    <comment ref="F12" authorId="0" shapeId="0" xr:uid="{00000000-0006-0000-0000-000017000000}">
      <text>
        <r>
          <rPr>
            <sz val="11"/>
            <color theme="1"/>
            <rFont val="Calibri"/>
            <family val="2"/>
            <scheme val="minor"/>
          </rPr>
          <t>OurHerb Pure &amp; Natural Mulethi Powder for Health, Skin &amp; Hair with Wooden Spoon - 100g</t>
        </r>
      </text>
    </comment>
    <comment ref="G12" authorId="0" shapeId="0" xr:uid="{00000000-0006-0000-0000-000018000000}">
      <text>
        <r>
          <rPr>
            <sz val="11"/>
            <color theme="1"/>
            <rFont val="Calibri"/>
            <family val="2"/>
            <scheme val="minor"/>
          </rPr>
          <t>Raw Alchemy Organic Mulethi Powder 100 g</t>
        </r>
      </text>
    </comment>
    <comment ref="E13" authorId="0" shapeId="0" xr:uid="{00000000-0006-0000-0000-000019000000}">
      <text>
        <r>
          <rPr>
            <sz val="11"/>
            <color theme="1"/>
            <rFont val="Calibri"/>
            <family val="2"/>
            <scheme val="minor"/>
          </rPr>
          <t>Maharishi Ayurveda Triphala Churna - 100 g (Pack of 1)</t>
        </r>
      </text>
    </comment>
    <comment ref="F13" authorId="0" shapeId="0" xr:uid="{00000000-0006-0000-0000-00001A000000}">
      <text>
        <r>
          <rPr>
            <sz val="11"/>
            <color theme="1"/>
            <rFont val="Calibri"/>
            <family val="2"/>
            <scheme val="minor"/>
          </rPr>
          <t>Neuherbs Triphala Churna Powder</t>
        </r>
      </text>
    </comment>
    <comment ref="G13" authorId="0" shapeId="0" xr:uid="{00000000-0006-0000-0000-00001B000000}">
      <text>
        <r>
          <rPr>
            <sz val="11"/>
            <color theme="1"/>
            <rFont val="Calibri"/>
            <family val="2"/>
            <scheme val="minor"/>
          </rPr>
          <t>Patanjali Triphala Churna (B.P.N.) Powder 100 g</t>
        </r>
      </text>
    </comment>
    <comment ref="E14" authorId="0" shapeId="0" xr:uid="{00000000-0006-0000-0000-00001C000000}">
      <text>
        <r>
          <rPr>
            <sz val="11"/>
            <color theme="1"/>
            <rFont val="Calibri"/>
            <family val="2"/>
            <scheme val="minor"/>
          </rPr>
          <t>KILLI Haritaki / Kadukkai Powder 100g</t>
        </r>
      </text>
    </comment>
    <comment ref="F14" authorId="0" shapeId="0" xr:uid="{00000000-0006-0000-0000-00001D000000}">
      <text>
        <r>
          <rPr>
            <sz val="11"/>
            <color theme="1"/>
            <rFont val="Calibri"/>
            <family val="2"/>
            <scheme val="minor"/>
          </rPr>
          <t>Farmhook Organic Harad Powder - Haritaki Powder, Natural, Best Quality 100 gram</t>
        </r>
      </text>
    </comment>
    <comment ref="G14" authorId="0" shapeId="0" xr:uid="{00000000-0006-0000-0000-00001E000000}">
      <text>
        <r>
          <rPr>
            <sz val="11"/>
            <color theme="1"/>
            <rFont val="Calibri"/>
            <family val="2"/>
            <scheme val="minor"/>
          </rPr>
          <t>Killi Kadukkai (Haritaki) Powder 100 g</t>
        </r>
      </text>
    </comment>
    <comment ref="E15" authorId="0" shapeId="0" xr:uid="{00000000-0006-0000-0000-00001F000000}">
      <text>
        <r>
          <rPr>
            <sz val="11"/>
            <color theme="1"/>
            <rFont val="Calibri"/>
            <family val="2"/>
            <scheme val="minor"/>
          </rPr>
          <t>Scaled from 250 g @ ₹341: Kamdhenu Baheda Powder 100 gms, Pack of 1 | Bibhitaki | Bahera</t>
        </r>
      </text>
    </comment>
    <comment ref="F15" authorId="0" shapeId="0" xr:uid="{00000000-0006-0000-0000-000020000000}">
      <text>
        <r>
          <rPr>
            <sz val="11"/>
            <color theme="1"/>
            <rFont val="Calibri"/>
            <family val="2"/>
            <scheme val="minor"/>
          </rPr>
          <t>Rawmest Baheda Powder-Behda Churan-Bibhitaki Churn for Eating-best of constipation 100g</t>
        </r>
      </text>
    </comment>
    <comment ref="E16" authorId="0" shapeId="0" xr:uid="{00000000-0006-0000-0000-000021000000}">
      <text>
        <r>
          <rPr>
            <sz val="11"/>
            <color theme="1"/>
            <rFont val="Calibri"/>
            <family val="2"/>
            <scheme val="minor"/>
          </rPr>
          <t>Matto Herbal Tulsi Leaf Powder (100 Gm) - Organic Holy Basil Leaves</t>
        </r>
      </text>
    </comment>
    <comment ref="F16" authorId="0" shapeId="0" xr:uid="{00000000-0006-0000-0000-000022000000}">
      <text>
        <r>
          <rPr>
            <sz val="11"/>
            <color theme="1"/>
            <rFont val="Calibri"/>
            <family val="2"/>
            <scheme val="minor"/>
          </rPr>
          <t>ORGANIC HERBS TULSI | BASIL LEAVES POWDER 100 GM | FOR STRONG IMMUNITY POWER</t>
        </r>
      </text>
    </comment>
    <comment ref="E17" authorId="0" shapeId="0" xr:uid="{00000000-0006-0000-0000-000023000000}">
      <text>
        <r>
          <rPr>
            <sz val="11"/>
            <color theme="1"/>
            <rFont val="Calibri"/>
            <family val="2"/>
            <scheme val="minor"/>
          </rPr>
          <t>Biotic Herbal Neem Leaves Powder, Organic Neem Leaf Powder for Skin, Hair, Face and Eating - 100gm</t>
        </r>
      </text>
    </comment>
    <comment ref="F17" authorId="0" shapeId="0" xr:uid="{00000000-0006-0000-0000-000024000000}">
      <text>
        <r>
          <rPr>
            <sz val="11"/>
            <color theme="1"/>
            <rFont val="Calibri"/>
            <family val="2"/>
            <scheme val="minor"/>
          </rPr>
          <t>KHADI NATURAL Neem Leaf Powder for Natural Hair &amp; Skin Care</t>
        </r>
      </text>
    </comment>
    <comment ref="G17" authorId="0" shapeId="0" xr:uid="{00000000-0006-0000-0000-000025000000}">
      <text>
        <r>
          <rPr>
            <sz val="11"/>
            <color theme="1"/>
            <rFont val="Calibri"/>
            <family val="2"/>
            <scheme val="minor"/>
          </rPr>
          <t>Khadi Natural Neem Leaf Organic Powder - For Oil Control &amp; Deep Cleansing 100 g</t>
        </r>
      </text>
    </comment>
    <comment ref="E18" authorId="0" shapeId="0" xr:uid="{00000000-0006-0000-0000-000026000000}">
      <text>
        <r>
          <rPr>
            <sz val="11"/>
            <color theme="1"/>
            <rFont val="Calibri"/>
            <family val="2"/>
            <scheme val="minor"/>
          </rPr>
          <t>Everest Powder, Tikhalal Chilli, 100gram Pouch</t>
        </r>
      </text>
    </comment>
    <comment ref="F18" authorId="0" shapeId="0" xr:uid="{00000000-0006-0000-0000-000027000000}">
      <text>
        <r>
          <rPr>
            <sz val="11"/>
            <color theme="1"/>
            <rFont val="Calibri"/>
            <family val="2"/>
            <scheme val="minor"/>
          </rPr>
          <t>EVEREST Tikhalal Chilli Powder Pack Of 1</t>
        </r>
      </text>
    </comment>
    <comment ref="G18" authorId="0" shapeId="0" xr:uid="{00000000-0006-0000-0000-000028000000}">
      <text>
        <r>
          <rPr>
            <sz val="11"/>
            <color theme="1"/>
            <rFont val="Calibri"/>
            <family val="2"/>
            <scheme val="minor"/>
          </rPr>
          <t>Everest Powder - Tikhalal Hot Chilly, 100 g Pouch</t>
        </r>
      </text>
    </comment>
    <comment ref="E19" authorId="0" shapeId="0" xr:uid="{00000000-0006-0000-0000-000029000000}">
      <text>
        <r>
          <rPr>
            <sz val="11"/>
            <color theme="1"/>
            <rFont val="Calibri"/>
            <family val="2"/>
            <scheme val="minor"/>
          </rPr>
          <t>Scaled from 200 g @ ₹112: Everest Tikhalal Chilli Powder -200gm</t>
        </r>
      </text>
    </comment>
    <comment ref="F19" authorId="0" shapeId="0" xr:uid="{00000000-0006-0000-0000-00002A000000}">
      <text>
        <r>
          <rPr>
            <sz val="11"/>
            <color theme="1"/>
            <rFont val="Calibri"/>
            <family val="2"/>
            <scheme val="minor"/>
          </rPr>
          <t>Scaled from 200 g @ ₹95: EVEREST Tikhalal Chilli Powder (200 g)</t>
        </r>
      </text>
    </comment>
    <comment ref="G19" authorId="0" shapeId="0" xr:uid="{00000000-0006-0000-0000-00002B000000}">
      <text>
        <r>
          <rPr>
            <sz val="11"/>
            <color theme="1"/>
            <rFont val="Calibri"/>
            <family val="2"/>
            <scheme val="minor"/>
          </rPr>
          <t>Scaled from 200 g @ ₹108: Everest Tikhalal Chilli Powder, 200 g Pouch</t>
        </r>
      </text>
    </comment>
    <comment ref="E20" authorId="0" shapeId="0" xr:uid="{00000000-0006-0000-0000-00002C000000}">
      <text>
        <r>
          <rPr>
            <sz val="11"/>
            <color theme="1"/>
            <rFont val="Calibri"/>
            <family val="2"/>
            <scheme val="minor"/>
          </rPr>
          <t>Everest Tikhalal Chilli Powder - 500gm</t>
        </r>
      </text>
    </comment>
    <comment ref="F20" authorId="0" shapeId="0" xr:uid="{00000000-0006-0000-0000-00002D000000}">
      <text>
        <r>
          <rPr>
            <sz val="11"/>
            <color theme="1"/>
            <rFont val="Calibri"/>
            <family val="2"/>
            <scheme val="minor"/>
          </rPr>
          <t>EVEREST Tikhalal Chilli Powder (500 g)</t>
        </r>
      </text>
    </comment>
    <comment ref="G20" authorId="0" shapeId="0" xr:uid="{00000000-0006-0000-0000-00002E000000}">
      <text>
        <r>
          <rPr>
            <sz val="11"/>
            <color theme="1"/>
            <rFont val="Calibri"/>
            <family val="2"/>
            <scheme val="minor"/>
          </rPr>
          <t>Everest Tikhalal Chilli Powder/Menasina Pudi, 500 g Pouch</t>
        </r>
      </text>
    </comment>
    <comment ref="E21" authorId="0" shapeId="0" xr:uid="{00000000-0006-0000-0000-00002F000000}">
      <text>
        <r>
          <rPr>
            <sz val="11"/>
            <color theme="1"/>
            <rFont val="Calibri"/>
            <family val="2"/>
            <scheme val="minor"/>
          </rPr>
          <t>Scaled from 200 g @ ₹96: Everest Turmeric Powder -200gm</t>
        </r>
      </text>
    </comment>
    <comment ref="F21" authorId="0" shapeId="0" xr:uid="{00000000-0006-0000-0000-000030000000}">
      <text>
        <r>
          <rPr>
            <sz val="11"/>
            <color theme="1"/>
            <rFont val="Calibri"/>
            <family val="2"/>
            <scheme val="minor"/>
          </rPr>
          <t>Catch Turmeric Powder</t>
        </r>
      </text>
    </comment>
    <comment ref="G21" authorId="0" shapeId="0" xr:uid="{00000000-0006-0000-0000-000031000000}">
      <text>
        <r>
          <rPr>
            <sz val="11"/>
            <color theme="1"/>
            <rFont val="Calibri"/>
            <family val="2"/>
            <scheme val="minor"/>
          </rPr>
          <t>Everest Turmeric Powder, 100 g Pouch</t>
        </r>
      </text>
    </comment>
    <comment ref="E22" authorId="0" shapeId="0" xr:uid="{00000000-0006-0000-0000-000032000000}">
      <text>
        <r>
          <rPr>
            <sz val="11"/>
            <color theme="1"/>
            <rFont val="Calibri"/>
            <family val="2"/>
            <scheme val="minor"/>
          </rPr>
          <t>Scaled from 200 g @ ₹96: Everest Turmeric Powder -200gm</t>
        </r>
      </text>
    </comment>
    <comment ref="F22" authorId="0" shapeId="0" xr:uid="{00000000-0006-0000-0000-000033000000}">
      <text>
        <r>
          <rPr>
            <sz val="11"/>
            <color theme="1"/>
            <rFont val="Calibri"/>
            <family val="2"/>
            <scheme val="minor"/>
          </rPr>
          <t>Scaled from 200 g @ ₹175: EVEREST Turmeric Powder 200 gm Pack of 1</t>
        </r>
      </text>
    </comment>
    <comment ref="G22" authorId="0" shapeId="0" xr:uid="{00000000-0006-0000-0000-000034000000}">
      <text>
        <r>
          <rPr>
            <sz val="11"/>
            <color theme="1"/>
            <rFont val="Calibri"/>
            <family val="2"/>
            <scheme val="minor"/>
          </rPr>
          <t>Scaled from 200 g @ ₹76: Everest Turmeric Powder, 200 g Pouch</t>
        </r>
      </text>
    </comment>
    <comment ref="E23" authorId="0" shapeId="0" xr:uid="{00000000-0006-0000-0000-000035000000}">
      <text>
        <r>
          <rPr>
            <sz val="11"/>
            <color theme="1"/>
            <rFont val="Calibri"/>
            <family val="2"/>
            <scheme val="minor"/>
          </rPr>
          <t>Everest Turmeric Powder - 500gm</t>
        </r>
      </text>
    </comment>
    <comment ref="F23" authorId="0" shapeId="0" xr:uid="{00000000-0006-0000-0000-000036000000}">
      <text>
        <r>
          <rPr>
            <sz val="11"/>
            <color theme="1"/>
            <rFont val="Calibri"/>
            <family val="2"/>
            <scheme val="minor"/>
          </rPr>
          <t>EVEREST Turmeric Powder</t>
        </r>
      </text>
    </comment>
    <comment ref="G23" authorId="0" shapeId="0" xr:uid="{00000000-0006-0000-0000-000037000000}">
      <text>
        <r>
          <rPr>
            <sz val="11"/>
            <color theme="1"/>
            <rFont val="Calibri"/>
            <family val="2"/>
            <scheme val="minor"/>
          </rPr>
          <t>Everest Turmeric Powder/Arisina Pudi, 500 g Pouch</t>
        </r>
      </text>
    </comment>
    <comment ref="E24" authorId="0" shapeId="0" xr:uid="{00000000-0006-0000-0000-000038000000}">
      <text>
        <r>
          <rPr>
            <sz val="11"/>
            <color theme="1"/>
            <rFont val="Calibri"/>
            <family val="2"/>
            <scheme val="minor"/>
          </rPr>
          <t>Everest Dry Ginger Powder, 100 Gram</t>
        </r>
      </text>
    </comment>
    <comment ref="F24" authorId="0" shapeId="0" xr:uid="{00000000-0006-0000-0000-000039000000}">
      <text>
        <r>
          <rPr>
            <sz val="11"/>
            <color theme="1"/>
            <rFont val="Calibri"/>
            <family val="2"/>
            <scheme val="minor"/>
          </rPr>
          <t>Bake King 100% Natural &amp; Pure Dry Ginger Powder Organic</t>
        </r>
      </text>
    </comment>
    <comment ref="G24" authorId="0" shapeId="0" xr:uid="{00000000-0006-0000-0000-00003A000000}">
      <text>
        <r>
          <rPr>
            <sz val="11"/>
            <color theme="1"/>
            <rFont val="Calibri"/>
            <family val="2"/>
            <scheme val="minor"/>
          </rPr>
          <t>Everest Powder - Dry Ginger, 100 g Carton</t>
        </r>
      </text>
    </comment>
    <comment ref="E25" authorId="0" shapeId="0" xr:uid="{00000000-0006-0000-0000-00003B000000}">
      <text>
        <r>
          <rPr>
            <sz val="11"/>
            <color theme="1"/>
            <rFont val="Calibri"/>
            <family val="2"/>
            <scheme val="minor"/>
          </rPr>
          <t>IndianJadiBooti Sonth Dried Ginger Powder, 250 Grams</t>
        </r>
      </text>
    </comment>
    <comment ref="F25" authorId="0" shapeId="0" xr:uid="{00000000-0006-0000-0000-00003C000000}">
      <text>
        <r>
          <rPr>
            <sz val="11"/>
            <color theme="1"/>
            <rFont val="Calibri"/>
            <family val="2"/>
            <scheme val="minor"/>
          </rPr>
          <t>Kiwi Freshs Ginger Powder 250g Pack of 1 Premium Dry Ginger Powder</t>
        </r>
      </text>
    </comment>
    <comment ref="G25" authorId="0" shapeId="0" xr:uid="{00000000-0006-0000-0000-00003D000000}">
      <text>
        <r>
          <rPr>
            <sz val="11"/>
            <color theme="1"/>
            <rFont val="Calibri"/>
            <family val="2"/>
            <scheme val="minor"/>
          </rPr>
          <t>Scaled from 100 g @ ₹90: Everest Powder - Dry Ginger, 100 g Carton</t>
        </r>
      </text>
    </comment>
    <comment ref="E26" authorId="0" shapeId="0" xr:uid="{00000000-0006-0000-0000-00003E000000}">
      <text>
        <r>
          <rPr>
            <sz val="11"/>
            <color theme="1"/>
            <rFont val="Calibri"/>
            <family val="2"/>
            <scheme val="minor"/>
          </rPr>
          <t>Miltop Dry Ginger Powder-Sunth, 500g</t>
        </r>
      </text>
    </comment>
    <comment ref="F26" authorId="0" shapeId="0" xr:uid="{00000000-0006-0000-0000-00003F000000}">
      <text>
        <r>
          <rPr>
            <sz val="11"/>
            <color theme="1"/>
            <rFont val="Calibri"/>
            <family val="2"/>
            <scheme val="minor"/>
          </rPr>
          <t>Kiwi Freshs Ginger Powder 500g Pack of 1 Premium Dry Ginger Powder</t>
        </r>
      </text>
    </comment>
    <comment ref="G26" authorId="0" shapeId="0" xr:uid="{00000000-0006-0000-0000-000040000000}">
      <text>
        <r>
          <rPr>
            <sz val="11"/>
            <color theme="1"/>
            <rFont val="Calibri"/>
            <family val="2"/>
            <scheme val="minor"/>
          </rPr>
          <t>Scaled from 100 g @ ₹90: Everest Powder - Dry Ginger, 100 g Carton</t>
        </r>
      </text>
    </comment>
    <comment ref="E27" authorId="0" shapeId="0" xr:uid="{00000000-0006-0000-0000-000041000000}">
      <text>
        <r>
          <rPr>
            <sz val="11"/>
            <color theme="1"/>
            <rFont val="Calibri"/>
            <family val="2"/>
            <scheme val="minor"/>
          </rPr>
          <t>AmazerCare Pure Lemongrass Powder - For Tea, Cooking and Seasoning | 100gm Jar</t>
        </r>
      </text>
    </comment>
    <comment ref="F27" authorId="0" shapeId="0" xr:uid="{00000000-0006-0000-0000-000042000000}">
      <text>
        <r>
          <rPr>
            <sz val="11"/>
            <color theme="1"/>
            <rFont val="Calibri"/>
            <family val="2"/>
            <scheme val="minor"/>
          </rPr>
          <t>HEILEN BIOPHARM Lemongrass Powder</t>
        </r>
      </text>
    </comment>
    <comment ref="E28" authorId="0" shapeId="0" xr:uid="{00000000-0006-0000-0000-000043000000}">
      <text>
        <r>
          <rPr>
            <sz val="11"/>
            <color theme="1"/>
            <rFont val="Calibri"/>
            <family val="2"/>
            <scheme val="minor"/>
          </rPr>
          <t>Golden Tips Herbyoga Lemon Ginger Herbal Infusion Tea - Lemongrass, Ginger &amp; Lemon Peel Blend, Caffeine-Free, 100g Pouch</t>
        </r>
      </text>
    </comment>
    <comment ref="F28" authorId="0" shapeId="0" xr:uid="{00000000-0006-0000-0000-000044000000}">
      <text>
        <r>
          <rPr>
            <sz val="11"/>
            <color theme="1"/>
            <rFont val="Calibri"/>
            <family val="2"/>
            <scheme val="minor"/>
          </rPr>
          <t>Scaled from 50 g @ ₹102: Sattvahut Ginger Tulsi Lemongrass Herbal Tea, 50 Cups - 50g Loose Leaf</t>
        </r>
      </text>
    </comment>
    <comment ref="E29" authorId="0" shapeId="0" xr:uid="{00000000-0006-0000-0000-000045000000}">
      <text>
        <r>
          <rPr>
            <sz val="11"/>
            <color theme="1"/>
            <rFont val="Calibri"/>
            <family val="2"/>
            <scheme val="minor"/>
          </rPr>
          <t>Holy Natural Spinach Powder 100g</t>
        </r>
      </text>
    </comment>
    <comment ref="F29" authorId="0" shapeId="0" xr:uid="{00000000-0006-0000-0000-000046000000}">
      <text>
        <r>
          <rPr>
            <sz val="11"/>
            <color theme="1"/>
            <rFont val="Calibri"/>
            <family val="2"/>
            <scheme val="minor"/>
          </rPr>
          <t>Holy Natural Spinach Powder - 100 GM</t>
        </r>
      </text>
    </comment>
    <comment ref="E30" authorId="0" shapeId="0" xr:uid="{00000000-0006-0000-0000-000047000000}">
      <text>
        <r>
          <rPr>
            <sz val="11"/>
            <color theme="1"/>
            <rFont val="Calibri"/>
            <family val="2"/>
            <scheme val="minor"/>
          </rPr>
          <t>Heilen Biopharm Lotus Petal Powder 100 g</t>
        </r>
      </text>
    </comment>
    <comment ref="F30" authorId="0" shapeId="0" xr:uid="{00000000-0006-0000-0000-000048000000}">
      <text>
        <r>
          <rPr>
            <sz val="11"/>
            <color theme="1"/>
            <rFont val="Calibri"/>
            <family val="2"/>
            <scheme val="minor"/>
          </rPr>
          <t>Kerala Naturals Lotus Powder (Nelumbo nucifera) 100gm - For Face, Skin and Hair</t>
        </r>
      </text>
    </comment>
    <comment ref="E31" authorId="0" shapeId="0" xr:uid="{00000000-0006-0000-0000-000049000000}">
      <text>
        <r>
          <rPr>
            <sz val="11"/>
            <color theme="1"/>
            <rFont val="Calibri"/>
            <family val="2"/>
            <scheme val="minor"/>
          </rPr>
          <t>Scaled from 1 kg @ ₹135: Bharat Vedica Sharbati Wheat Grains, Highly Nutritious, Organic &amp; Pure, 1 Kg</t>
        </r>
      </text>
    </comment>
    <comment ref="F31" authorId="0" shapeId="0" xr:uid="{00000000-0006-0000-0000-00004A000000}">
      <text>
        <r>
          <rPr>
            <sz val="11"/>
            <color theme="1"/>
            <rFont val="Calibri"/>
            <family val="2"/>
            <scheme val="minor"/>
          </rPr>
          <t>Scaled from 1 kg @ ₹142: PRODUCER WHOLE WHEAT SHARBATI Whole Wheat</t>
        </r>
      </text>
    </comment>
    <comment ref="G31" authorId="0" shapeId="0" xr:uid="{00000000-0006-0000-0000-00004B000000}">
      <text>
        <r>
          <rPr>
            <sz val="11"/>
            <color theme="1"/>
            <rFont val="Calibri"/>
            <family val="2"/>
            <scheme val="minor"/>
          </rPr>
          <t>Scaled from 1 kg @ ₹54: bb Royal Wheat - Sharbati, 1 kg Pouch</t>
        </r>
      </text>
    </comment>
    <comment ref="E32" authorId="0" shapeId="0" xr:uid="{00000000-0006-0000-0000-00004C000000}">
      <text>
        <r>
          <rPr>
            <sz val="11"/>
            <color theme="1"/>
            <rFont val="Calibri"/>
            <family val="2"/>
            <scheme val="minor"/>
          </rPr>
          <t>India Gate Basmati Rice Everyday 5 kg</t>
        </r>
      </text>
    </comment>
    <comment ref="F32" authorId="0" shapeId="0" xr:uid="{00000000-0006-0000-0000-00004D000000}">
      <text>
        <r>
          <rPr>
            <sz val="11"/>
            <color theme="1"/>
            <rFont val="Calibri"/>
            <family val="2"/>
            <scheme val="minor"/>
          </rPr>
          <t>INDIA GATE All Rounder Everyday Basmati Rice (Medium Grain, Polished)</t>
        </r>
      </text>
    </comment>
    <comment ref="G32" authorId="0" shapeId="0" xr:uid="{00000000-0006-0000-0000-00004E000000}">
      <text>
        <r>
          <rPr>
            <sz val="11"/>
            <color theme="1"/>
            <rFont val="Calibri"/>
            <family val="2"/>
            <scheme val="minor"/>
          </rPr>
          <t>Search-snippet price; BigBasket blocked the live check. India Gate Everyday Basmati Rice - Fluffy &amp; Medium Grains, Non-Sticky 5 kg</t>
        </r>
      </text>
    </comment>
    <comment ref="E33" authorId="0" shapeId="0" xr:uid="{00000000-0006-0000-0000-00004F000000}">
      <text>
        <r>
          <rPr>
            <sz val="11"/>
            <color theme="1"/>
            <rFont val="Calibri"/>
            <family val="2"/>
            <scheme val="minor"/>
          </rPr>
          <t>Scaled from 5 kg @ ₹397: India Gate Basmati Rice Everyday 5 kg</t>
        </r>
      </text>
    </comment>
    <comment ref="F33" authorId="0" shapeId="0" xr:uid="{00000000-0006-0000-0000-000050000000}">
      <text>
        <r>
          <rPr>
            <sz val="11"/>
            <color theme="1"/>
            <rFont val="Calibri"/>
            <family val="2"/>
            <scheme val="minor"/>
          </rPr>
          <t>Scaled from 5 kg @ ₹470: INDIA GATE All Rounder Everyday Basmati Rice (Medium Grain, Polished)</t>
        </r>
      </text>
    </comment>
    <comment ref="G33" authorId="0" shapeId="0" xr:uid="{00000000-0006-0000-0000-000051000000}">
      <text>
        <r>
          <rPr>
            <sz val="11"/>
            <color theme="1"/>
            <rFont val="Calibri"/>
            <family val="2"/>
            <scheme val="minor"/>
          </rPr>
          <t>Scaled from 10 kg @ ₹808.52: India Gate Everyday Basmati Rice - Fluffy &amp; Medium Grains, Non-Sticky 10 kg</t>
        </r>
      </text>
    </comment>
    <comment ref="E34" authorId="0" shapeId="0" xr:uid="{00000000-0006-0000-0000-000052000000}">
      <text>
        <r>
          <rPr>
            <sz val="11"/>
            <color theme="1"/>
            <rFont val="Calibri"/>
            <family val="2"/>
            <scheme val="minor"/>
          </rPr>
          <t>Ayuda Organic Krishna Kamod Rice 5Kg, unpolished</t>
        </r>
      </text>
    </comment>
    <comment ref="F34" authorId="0" shapeId="0" xr:uid="{00000000-0006-0000-0000-000053000000}">
      <text>
        <r>
          <rPr>
            <sz val="11"/>
            <color theme="1"/>
            <rFont val="Calibri"/>
            <family val="2"/>
            <scheme val="minor"/>
          </rPr>
          <t>The Organic Citizen Organic Krishna Kamod Rice 5kg (Long Grain, Unpolished)</t>
        </r>
      </text>
    </comment>
    <comment ref="E35" authorId="0" shapeId="0" xr:uid="{00000000-0006-0000-0000-000054000000}">
      <text>
        <r>
          <rPr>
            <sz val="11"/>
            <color theme="1"/>
            <rFont val="Calibri"/>
            <family val="2"/>
            <scheme val="minor"/>
          </rPr>
          <t>Scaled from 5 kg @ ₹1340: Ayuda Organic Krishna Kamod Rice 5Kg, unpolished</t>
        </r>
      </text>
    </comment>
    <comment ref="F35" authorId="0" shapeId="0" xr:uid="{00000000-0006-0000-0000-000055000000}">
      <text>
        <r>
          <rPr>
            <sz val="11"/>
            <color theme="1"/>
            <rFont val="Calibri"/>
            <family val="2"/>
            <scheme val="minor"/>
          </rPr>
          <t>Scaled from 5 kg @ ₹1799: The Organic Citizen Organic Krishna Kamod Rice 5kg (Long Grain, Unpolished)</t>
        </r>
      </text>
    </comment>
    <comment ref="E38" authorId="0" shapeId="0" xr:uid="{00000000-0006-0000-0000-000056000000}">
      <text>
        <r>
          <rPr>
            <sz val="11"/>
            <color theme="1"/>
            <rFont val="Calibri"/>
            <family val="2"/>
            <scheme val="minor"/>
          </rPr>
          <t>Ayuda Organics Jeerasar Rice, Organic Guj-17 Semi-Polished (5kg)</t>
        </r>
      </text>
    </comment>
    <comment ref="F38" authorId="0" shapeId="0" xr:uid="{00000000-0006-0000-0000-000057000000}">
      <text>
        <r>
          <rPr>
            <sz val="11"/>
            <color theme="1"/>
            <rFont val="Calibri"/>
            <family val="2"/>
            <scheme val="minor"/>
          </rPr>
          <t>Scaled from 10 kg @ ₹780: Jeerasar Rice (Medium Grain, Raw) 10 kg - Unbranded (H.R.L Foods)</t>
        </r>
      </text>
    </comment>
    <comment ref="G38" authorId="0" shapeId="0" xr:uid="{00000000-0006-0000-0000-000058000000}">
      <text>
        <r>
          <rPr>
            <sz val="11"/>
            <color theme="1"/>
            <rFont val="Calibri"/>
            <family val="2"/>
            <scheme val="minor"/>
          </rPr>
          <t>bb Royal Jeerasar Rice (Guj 17) 5 kg</t>
        </r>
      </text>
    </comment>
    <comment ref="E39" authorId="0" shapeId="0" xr:uid="{00000000-0006-0000-0000-000059000000}">
      <text>
        <r>
          <rPr>
            <sz val="11"/>
            <color theme="1"/>
            <rFont val="Calibri"/>
            <family val="2"/>
            <scheme val="minor"/>
          </rPr>
          <t>Scaled from 5 kg @ ₹895: Ayuda Organics Jeerasar Rice, Organic Guj-17 Semi-Polished (5kg)</t>
        </r>
      </text>
    </comment>
    <comment ref="F39" authorId="0" shapeId="0" xr:uid="{00000000-0006-0000-0000-00005A000000}">
      <text>
        <r>
          <rPr>
            <sz val="11"/>
            <color theme="1"/>
            <rFont val="Calibri"/>
            <family val="2"/>
            <scheme val="minor"/>
          </rPr>
          <t>Scaled from 10 kg @ ₹780: Jeerasar Rice (Medium Grain, Raw) 10 kg - Unbranded (H.R.L Foods)</t>
        </r>
      </text>
    </comment>
    <comment ref="G39" authorId="0" shapeId="0" xr:uid="{00000000-0006-0000-0000-00005B000000}">
      <text>
        <r>
          <rPr>
            <sz val="11"/>
            <color theme="1"/>
            <rFont val="Calibri"/>
            <family val="2"/>
            <scheme val="minor"/>
          </rPr>
          <t>Scaled from 10 kg @ ₹747: bb Royal Jeerasar Rice (Guj 17) 10 kg</t>
        </r>
      </text>
    </comment>
    <comment ref="E40" authorId="0" shapeId="0" xr:uid="{00000000-0006-0000-0000-00005C000000}">
      <text>
        <r>
          <rPr>
            <sz val="11"/>
            <color theme="1"/>
            <rFont val="Calibri"/>
            <family val="2"/>
            <scheme val="minor"/>
          </rPr>
          <t>Scaled from 500 g @ ₹70: Tata Sampann Unpolished Green Moong Dal (Whole), 500gm</t>
        </r>
      </text>
    </comment>
    <comment ref="F40" authorId="0" shapeId="0" xr:uid="{00000000-0006-0000-0000-00005D000000}">
      <text>
        <r>
          <rPr>
            <sz val="11"/>
            <color theme="1"/>
            <rFont val="Calibri"/>
            <family val="2"/>
            <scheme val="minor"/>
          </rPr>
          <t>Scaled from 500 g @ ₹178: Tata Sampann Unpolished Green Moong Dal (Whole)</t>
        </r>
      </text>
    </comment>
    <comment ref="G40" authorId="0" shapeId="0" xr:uid="{00000000-0006-0000-0000-00005E000000}">
      <text>
        <r>
          <rPr>
            <sz val="11"/>
            <color theme="1"/>
            <rFont val="Calibri"/>
            <family val="2"/>
            <scheme val="minor"/>
          </rPr>
          <t>Scaled from 500 g @ ₹70: Tata Sampann Unpolished Green Moong - Whole, 500 g</t>
        </r>
      </text>
    </comment>
    <comment ref="E41" authorId="0" shapeId="0" xr:uid="{00000000-0006-0000-0000-00005F000000}">
      <text>
        <r>
          <rPr>
            <sz val="11"/>
            <color theme="1"/>
            <rFont val="Calibri"/>
            <family val="2"/>
            <scheme val="minor"/>
          </rPr>
          <t>Scaled from 1 kg @ ₹168: Amazon Brand - Vedaka Unpolished Yellow Moong Dal 1 Kg</t>
        </r>
      </text>
    </comment>
    <comment ref="F41" authorId="0" shapeId="0" xr:uid="{00000000-0006-0000-0000-000060000000}">
      <text>
        <r>
          <rPr>
            <sz val="11"/>
            <color theme="1"/>
            <rFont val="Calibri"/>
            <family val="2"/>
            <scheme val="minor"/>
          </rPr>
          <t>Scaled from 1 kg @ ₹230: Yellow Moong Dal (Split) (1 kg) - unbranded</t>
        </r>
      </text>
    </comment>
    <comment ref="G41" authorId="0" shapeId="0" xr:uid="{00000000-0006-0000-0000-000061000000}">
      <text>
        <r>
          <rPr>
            <sz val="11"/>
            <color theme="1"/>
            <rFont val="Calibri"/>
            <family val="2"/>
            <scheme val="minor"/>
          </rPr>
          <t>Scaled from 1 kg @ ₹180: Tata Sampann Unpolished Moong Dal, 1 kg Pouch</t>
        </r>
      </text>
    </comment>
    <comment ref="E42" authorId="0" shapeId="0" xr:uid="{00000000-0006-0000-0000-000062000000}">
      <text>
        <r>
          <rPr>
            <sz val="11"/>
            <color theme="1"/>
            <rFont val="Calibri"/>
            <family val="2"/>
            <scheme val="minor"/>
          </rPr>
          <t>Scaled from 1 kg @ ₹150: Tata Sampann Unpolished Kala (Black, Brown) Chana, 1kg</t>
        </r>
      </text>
    </comment>
    <comment ref="F42" authorId="0" shapeId="0" xr:uid="{00000000-0006-0000-0000-000063000000}">
      <text>
        <r>
          <rPr>
            <sz val="11"/>
            <color theme="1"/>
            <rFont val="Calibri"/>
            <family val="2"/>
            <scheme val="minor"/>
          </rPr>
          <t>Scaled from 1 kg @ ₹142: Tata Sampann Unpolished Chana (Whole) (Kala Chana)</t>
        </r>
      </text>
    </comment>
    <comment ref="G42" authorId="0" shapeId="0" xr:uid="{00000000-0006-0000-0000-000064000000}">
      <text>
        <r>
          <rPr>
            <sz val="11"/>
            <color theme="1"/>
            <rFont val="Calibri"/>
            <family val="2"/>
            <scheme val="minor"/>
          </rPr>
          <t>Scaled from 1 kg @ ₹120: Tata Sampann Kala Chana - Unpolished, 1 kg Pouch</t>
        </r>
      </text>
    </comment>
    <comment ref="E43" authorId="0" shapeId="0" xr:uid="{00000000-0006-0000-0000-000065000000}">
      <text>
        <r>
          <rPr>
            <sz val="11"/>
            <color theme="1"/>
            <rFont val="Calibri"/>
            <family val="2"/>
            <scheme val="minor"/>
          </rPr>
          <t>Scaled from 1 kg @ ₹133: Tata Sampann Unpolished Chana Dal, 1kg</t>
        </r>
      </text>
    </comment>
    <comment ref="F43" authorId="0" shapeId="0" xr:uid="{00000000-0006-0000-0000-000066000000}">
      <text>
        <r>
          <rPr>
            <sz val="11"/>
            <color theme="1"/>
            <rFont val="Calibri"/>
            <family val="2"/>
            <scheme val="minor"/>
          </rPr>
          <t>Scaled from 1 kg @ ₹147: Tata Sampann Unpolished Yellow Chana Dal (Split) (1 kg)</t>
        </r>
      </text>
    </comment>
    <comment ref="G43" authorId="0" shapeId="0" xr:uid="{00000000-0006-0000-0000-000067000000}">
      <text>
        <r>
          <rPr>
            <sz val="11"/>
            <color theme="1"/>
            <rFont val="Calibri"/>
            <family val="2"/>
            <scheme val="minor"/>
          </rPr>
          <t>Scaled from 1 kg @ ₹137: Tata Sampann Unpolished Chana Dal, 1 kg Pouch</t>
        </r>
      </text>
    </comment>
    <comment ref="E44" authorId="0" shapeId="0" xr:uid="{00000000-0006-0000-0000-000068000000}">
      <text>
        <r>
          <rPr>
            <sz val="11"/>
            <color theme="1"/>
            <rFont val="Calibri"/>
            <family val="2"/>
            <scheme val="minor"/>
          </rPr>
          <t>Scaled from 1 kg @ ₹180: Patanjali Pulses - Mix Dal, 1kg Pouch</t>
        </r>
      </text>
    </comment>
    <comment ref="F44" authorId="0" shapeId="0" xr:uid="{00000000-0006-0000-0000-000069000000}">
      <text>
        <r>
          <rPr>
            <sz val="11"/>
            <color theme="1"/>
            <rFont val="Calibri"/>
            <family val="2"/>
            <scheme val="minor"/>
          </rPr>
          <t>Scaled from 1 kg @ ₹160: Sri Sauham Unpolished Mix Dal (Split)</t>
        </r>
      </text>
    </comment>
    <comment ref="G44" authorId="0" shapeId="0" xr:uid="{00000000-0006-0000-0000-00006A000000}">
      <text>
        <r>
          <rPr>
            <sz val="11"/>
            <color theme="1"/>
            <rFont val="Calibri"/>
            <family val="2"/>
            <scheme val="minor"/>
          </rPr>
          <t>Scaled from 1 kg @ ₹159.3: bb Royal Mix Dal, 1 kg Pouch</t>
        </r>
      </text>
    </comment>
    <comment ref="E45" authorId="0" shapeId="0" xr:uid="{00000000-0006-0000-0000-00006B000000}">
      <text>
        <r>
          <rPr>
            <sz val="11"/>
            <color theme="1"/>
            <rFont val="Calibri"/>
            <family val="2"/>
            <scheme val="minor"/>
          </rPr>
          <t>Herb Essential Multani Mitti Powder 100g</t>
        </r>
      </text>
    </comment>
    <comment ref="F45" authorId="0" shapeId="0" xr:uid="{00000000-0006-0000-0000-00006C000000}">
      <text>
        <r>
          <rPr>
            <sz val="11"/>
            <color theme="1"/>
            <rFont val="Calibri"/>
            <family val="2"/>
            <scheme val="minor"/>
          </rPr>
          <t>BE HERBAL Multani Mitti Powder For Skin Whitening &amp; Hair Growth | 100% Natural (100gm)</t>
        </r>
      </text>
    </comment>
    <comment ref="G45" authorId="0" shapeId="0" xr:uid="{00000000-0006-0000-0000-00006D000000}">
      <text>
        <r>
          <rPr>
            <sz val="11"/>
            <color theme="1"/>
            <rFont val="Calibri"/>
            <family val="2"/>
            <scheme val="minor"/>
          </rPr>
          <t>Search-snippet price; BigBasket blocked the live check. Banjara's Multani Mitti Face Pack Powder</t>
        </r>
      </text>
    </comment>
    <comment ref="E46" authorId="0" shapeId="0" xr:uid="{00000000-0006-0000-0000-00006E000000}">
      <text>
        <r>
          <rPr>
            <sz val="11"/>
            <color theme="1"/>
            <rFont val="Calibri"/>
            <family val="2"/>
            <scheme val="minor"/>
          </rPr>
          <t>Scaled from 200 g @ ₹151: Sansar Organics Trichoderma Fungicide - Viride Powder (2 x 10^8 CFU/g), 200 gm</t>
        </r>
      </text>
    </comment>
    <comment ref="F46" authorId="0" shapeId="0" xr:uid="{00000000-0006-0000-0000-00006F000000}">
      <text>
        <r>
          <rPr>
            <sz val="11"/>
            <color theme="1"/>
            <rFont val="Calibri"/>
            <family val="2"/>
            <scheme val="minor"/>
          </rPr>
          <t>Scaled from 450 g @ ₹300: Agreno Trichoderma - Prevents Fungal and Bacterial Diseases in Plants (Powder)</t>
        </r>
      </text>
    </comment>
    <comment ref="E47" authorId="0" shapeId="0" xr:uid="{00000000-0006-0000-0000-000070000000}">
      <text>
        <r>
          <rPr>
            <sz val="11"/>
            <color theme="1"/>
            <rFont val="Calibri"/>
            <family val="2"/>
            <scheme val="minor"/>
          </rPr>
          <t>Scaled from 1 kg @ ₹294: OrganicDews Bio NPK consortia (5x10^7 CFU/g) Bio Inoculum Fertilizer, 1 Kg</t>
        </r>
      </text>
    </comment>
    <comment ref="F47" authorId="0" shapeId="0" xr:uid="{00000000-0006-0000-0000-000071000000}">
      <text>
        <r>
          <rPr>
            <sz val="11"/>
            <color theme="1"/>
            <rFont val="Calibri"/>
            <family val="2"/>
            <scheme val="minor"/>
          </rPr>
          <t>Scaled from 1 kg @ ₹499: TrustBasket Bio NPK Fertilizer (Powder)</t>
        </r>
      </text>
    </comment>
    <comment ref="E48" authorId="0" shapeId="0" xr:uid="{00000000-0006-0000-0000-000072000000}">
      <text>
        <r>
          <rPr>
            <sz val="11"/>
            <color theme="1"/>
            <rFont val="Calibri"/>
            <family val="2"/>
            <scheme val="minor"/>
          </rPr>
          <t>Scaled from 500 g @ ₹228: BloomBuddy Eggshell Powder for Plants 500g</t>
        </r>
      </text>
    </comment>
    <comment ref="F48" authorId="0" shapeId="0" xr:uid="{00000000-0006-0000-0000-000073000000}">
      <text>
        <r>
          <rPr>
            <sz val="11"/>
            <color theme="1"/>
            <rFont val="Calibri"/>
            <family val="2"/>
            <scheme val="minor"/>
          </rPr>
          <t>lifita Egg shell powder | plants growing Potting Mixture</t>
        </r>
      </text>
    </comment>
    <comment ref="E49" authorId="0" shapeId="0" xr:uid="{00000000-0006-0000-0000-000074000000}">
      <text>
        <r>
          <rPr>
            <sz val="11"/>
            <color theme="1"/>
            <rFont val="Calibri"/>
            <family val="2"/>
            <scheme val="minor"/>
          </rPr>
          <t>Scaled from 900 g @ ₹250: GreenfieldEco 200 mesh BIOCHAR POWDER, 900 gm</t>
        </r>
      </text>
    </comment>
    <comment ref="F49" authorId="0" shapeId="0" xr:uid="{00000000-0006-0000-0000-000075000000}">
      <text>
        <r>
          <rPr>
            <sz val="11"/>
            <color theme="1"/>
            <rFont val="Calibri"/>
            <family val="2"/>
            <scheme val="minor"/>
          </rPr>
          <t>Scaled from 1 kg @ ₹94: MSAF ORGANICS MSAF_BIOCHAR Fertilizer (Powder)</t>
        </r>
      </text>
    </comment>
  </commentList>
</comments>
</file>

<file path=xl/sharedStrings.xml><?xml version="1.0" encoding="utf-8"?>
<sst xmlns="http://schemas.openxmlformats.org/spreadsheetml/2006/main" count="1379" uniqueCount="482">
  <si>
    <t>#</t>
  </si>
  <si>
    <t>Product</t>
  </si>
  <si>
    <t>Quantity</t>
  </si>
  <si>
    <t>Earthora Price</t>
  </si>
  <si>
    <t>Amazon</t>
  </si>
  <si>
    <t>Flipkart</t>
  </si>
  <si>
    <t>BigBasket</t>
  </si>
  <si>
    <t>Highest Price</t>
  </si>
  <si>
    <t>Highest On</t>
  </si>
  <si>
    <t>Lowest Price</t>
  </si>
  <si>
    <t>Lowest On</t>
  </si>
  <si>
    <t>Price Spread</t>
  </si>
  <si>
    <t>Average Price</t>
  </si>
  <si>
    <t>Notes</t>
  </si>
  <si>
    <t>Moringa Leaf Powder</t>
  </si>
  <si>
    <t>100 g</t>
  </si>
  <si>
    <t>Earthora price is the live price on earthorafarms.com.</t>
  </si>
  <si>
    <t>Ashwagandha</t>
  </si>
  <si>
    <t>TBC</t>
  </si>
  <si>
    <t>Amla</t>
  </si>
  <si>
    <t>Shatavari</t>
  </si>
  <si>
    <t>Spirulina</t>
  </si>
  <si>
    <t>BigBasket only had a 70 g pack in stock; scaled to 100 g.</t>
  </si>
  <si>
    <t>Wheatgrass</t>
  </si>
  <si>
    <t>Beetroot</t>
  </si>
  <si>
    <t>Mulethi</t>
  </si>
  <si>
    <t>Triphala Powder</t>
  </si>
  <si>
    <t>Harde (Haritaki)</t>
  </si>
  <si>
    <t>Baheda</t>
  </si>
  <si>
    <t>Tulsi Leaf</t>
  </si>
  <si>
    <t>Neem Leaf</t>
  </si>
  <si>
    <t>Mirchi Chilli Powder</t>
  </si>
  <si>
    <t>250 g</t>
  </si>
  <si>
    <t>No 250 g pack exists; scaled from the 200 g pack.</t>
  </si>
  <si>
    <t>500 g</t>
  </si>
  <si>
    <t>Haldi Turmeric Powder</t>
  </si>
  <si>
    <t>No 250 g pack exists; scaled from 200 g. Flipkart 200 g is a third-party seller price.</t>
  </si>
  <si>
    <t>Ginger Powder</t>
  </si>
  <si>
    <t>BigBasket only sells 100 g; scaled x2.5.</t>
  </si>
  <si>
    <t>BigBasket only sells 100 g; scaled x5.</t>
  </si>
  <si>
    <t>Lemongrass Powder</t>
  </si>
  <si>
    <t>Ginger &amp; Lemongrass Herbal Tea Masala</t>
  </si>
  <si>
    <t>Closest herbal ginger-lemongrass blends. BigBasket only had Lipton green tea bags (~Rs 615/100 g), excluded as not comparable.</t>
  </si>
  <si>
    <t>Spinach Powder</t>
  </si>
  <si>
    <t>Lotus Flower Powder</t>
  </si>
  <si>
    <t>Whole Wheat</t>
  </si>
  <si>
    <t>Sharbati wheat grain; sold in 1 kg packs, scaled to 100 g.</t>
  </si>
  <si>
    <t>Basmati Rice</t>
  </si>
  <si>
    <t>5 kg</t>
  </si>
  <si>
    <t>India Gate Everyday on all three platforms.</t>
  </si>
  <si>
    <t>50 kg</t>
  </si>
  <si>
    <t>No 50 kg retail pack; scaled from 5 kg (Amazon, Flipkart) and 10 kg (BigBasket).</t>
  </si>
  <si>
    <t>Krishna Kamod Rice</t>
  </si>
  <si>
    <t>Only organic/premium listings exist online. Not sold on BigBasket.</t>
  </si>
  <si>
    <t>No 50 kg pack online; scaled from 5 kg organic packs.</t>
  </si>
  <si>
    <t>Gujarat Sakar Rice</t>
  </si>
  <si>
    <t>Not sold under the name "Gujarat Sakar" on any of the three platforms. If it is the same as Guj-17, see Girasar.</t>
  </si>
  <si>
    <t>Not sold on any of the three platforms (see 5 kg row).</t>
  </si>
  <si>
    <t>Girasar Rice</t>
  </si>
  <si>
    <t>Matched as Jeerasar / Jirasar (Guj-17), the name the platforms use. Amazon listing is organic.</t>
  </si>
  <si>
    <t>No 50 kg pack online; scaled from 5 kg (Amazon) and 10 kg (Flipkart, BigBasket). Amazon listing is organic.</t>
  </si>
  <si>
    <t>Whole Moong</t>
  </si>
  <si>
    <t>Scaled from 500 g packs. Flipkart is a third-party seller price.</t>
  </si>
  <si>
    <t>Moong Dal Split &amp; Washed</t>
  </si>
  <si>
    <t>Scaled from 1 kg packs.</t>
  </si>
  <si>
    <t>Desi Chana</t>
  </si>
  <si>
    <t>Chana Dal</t>
  </si>
  <si>
    <t>Mixed Beans &amp; Pulses</t>
  </si>
  <si>
    <t>Multani Mitti Clay Powder</t>
  </si>
  <si>
    <t>BigBasket price from search snippet (live check blocked).</t>
  </si>
  <si>
    <t>Bio-Pesticide Powders</t>
  </si>
  <si>
    <t>Trichoderma bio-fungicide powder used as the benchmark. BigBasket only had neem cake (not comparable).</t>
  </si>
  <si>
    <t>Bio-Fertilizer Powders</t>
  </si>
  <si>
    <t>Bio NPK consortia powder used as the benchmark; sold in 1 kg packs.</t>
  </si>
  <si>
    <t>Fine Eggshell Calcium Powder</t>
  </si>
  <si>
    <t>Biochar Soil Conditioner Powder</t>
  </si>
  <si>
    <t>Legend: blue = price observed on the platform · shaded italic = scaled linearly from another pack size · red = highest of the three platforms · Earthora price TBC = not yet published on the website.</t>
  </si>
  <si>
    <t>Overall – Which platform is most expensive?</t>
  </si>
  <si>
    <t>All figures calculated live from the 'Price Comparison' sheet.</t>
  </si>
  <si>
    <t>Platform</t>
  </si>
  <si>
    <t>Products Priced</t>
  </si>
  <si>
    <t>Times Highest</t>
  </si>
  <si>
    <t>Times Lowest</t>
  </si>
  <si>
    <t>Share of Highest</t>
  </si>
  <si>
    <t>Basket Total (items on all 3)</t>
  </si>
  <si>
    <t>Items on all 3</t>
  </si>
  <si>
    <t>Most often the highest-priced platform:</t>
  </si>
  <si>
    <t>Most expensive basket (products available on all three):</t>
  </si>
  <si>
    <t>Cheapest basket (products available on all three):</t>
  </si>
  <si>
    <t>Single highest price in the sheet:</t>
  </si>
  <si>
    <t>Basket Total adds up only the products listed on all three platforms, so the comparison is like-for-like. Times Highest counts how often each platform had the highest price for a product.</t>
  </si>
  <si>
    <t>Status</t>
  </si>
  <si>
    <t>Checked</t>
  </si>
  <si>
    <t>Listing Used</t>
  </si>
  <si>
    <t>Listed Pack</t>
  </si>
  <si>
    <t>Listed Price</t>
  </si>
  <si>
    <t>Price for Quantity</t>
  </si>
  <si>
    <t>URL</t>
  </si>
  <si>
    <t>Note</t>
  </si>
  <si>
    <t>FOUND</t>
  </si>
  <si>
    <t>Live page</t>
  </si>
  <si>
    <t>ORGANIC INDIA (A TATA Product) Moringa Powder 100g</t>
  </si>
  <si>
    <t>https://www.amazon.in/TATA-Product-Essential-Nutrition-Superfood/dp/B01JCFDX4S</t>
  </si>
  <si>
    <t>Live-checked in browser 26 Oct 2026. | Earlier research: #1 Best Seller tag, ~9.4k ratings. Price ₹237 (MRP ₹248) per PriceBefore tracker updated 22 Oct 2026 (https://www.pricebefore.com/tata-product-organic-india-moringa-powder-b01jcfdx4s-m986827.html); 21-day range ₹199-₹243. Amazon page itself blocked (503) for direct fetch.</t>
  </si>
  <si>
    <t>Trivang Organic Moringa Leaf Powder For Weight Loss, Powerful Vitamins &amp; Antioxidants</t>
  </si>
  <si>
    <t>https://www.flipkart.com/trivang-organic-moringa-leaf-powder-weight-loss-powerful-vitamins-antioxidants/p/itm76e1a6fe97441?pid=VSLH3F6FVZSTPGZV</t>
  </si>
  <si>
    <t>Verified on live Flipkart search page 26 Oct 2026. MRP ₹399, 4.0 (6,168 ratings) - most-rated 100 g listing. Other 100 g listings ranged ₹74-₹213.</t>
  </si>
  <si>
    <t>Organic India Moringa Powder 100 g Tin</t>
  </si>
  <si>
    <t>https://www.bigbasket.com/pd/60000402/organic-india-moringa-powder-100-g-tin/</t>
  </si>
  <si>
    <t>Live-checked in browser 26 Oct 2026. Nutriwish listing unavailable; Organic India used. | Earlier research: Price from search-index snippet of BigBasket page title (BigBasket blocks direct fetch, 403); not live-verified. Alternative: Killi Drumstick Leaves Powder 100 g ₹130, 4.2 rating (https://bigbasket.com/pd/40186205/killi-drumstick-leaves-powder-100-g-pouch).</t>
  </si>
  <si>
    <t>Neuherbs Ashwagandha Powder 100 g</t>
  </si>
  <si>
    <t>https://www.amazon.in/Neuherbs-Ashwagandha-Ayurvedic-Supplement-Certified/dp/B0BF9J6JV3</t>
  </si>
  <si>
    <t>Live-checked in browser 26 Oct 2026. | Earlier research: Price from amazon.in search-index snippet (MRP ₹249; offers seen at ₹179.55/₹170.10); not live-verified - Amazon blocks direct fetch. Other 100 g listings in snippets: Biotic ₹185, Organic Prime ₹197, Vahdam ₹239.</t>
  </si>
  <si>
    <t>Trivang 100% Natural Ashwagandha Powder- Withania Somnifera (100g)</t>
  </si>
  <si>
    <t>https://www.flipkart.com/trivang-100-natural-ashwagandha-powder-withania-somnifera-100g/p/itm77c024ffcce26?pid=AYDHYANZBENUM2VF</t>
  </si>
  <si>
    <t>Verified on live Flipkart search page 26 Oct 2026. MRP ₹630, 4.0 (26,363 ratings). Baidyanath Ashwagandha Churna 100 g ₹126 (4,624 ratings) is a branded alternative.</t>
  </si>
  <si>
    <t>Kapiva Organic Ashwagandha Powder 100 g</t>
  </si>
  <si>
    <t>https://www.bigbasket.com/pd/40350884/kapiva-organic-ashwagandha-powder-100-g/</t>
  </si>
  <si>
    <t>Live-checked in browser 26 Oct 2026. | Earlier research: Price from search-index snippet of BigBasket page; not live-verified (403 on fetch). Alternative: indiSecrets Organic 100 g ₹199. Dabur Ashwagandha Churna 100 g shows ₹138.7 but marked unavailable.</t>
  </si>
  <si>
    <t>INDUS VALLEY Bio Organic Amla Powder (Indian Gooseberry) 100g</t>
  </si>
  <si>
    <t>https://www.amazon.in/Indus-Valley-Organic-Indian-Gooseberry/dp/B01MXRZJSB</t>
  </si>
  <si>
    <t>Live-checked in browser 26 Oct 2026. | Earlier research: Price from amazon.in search-index snippet (MRP ₹299, ~4,681 ratings, 4.1); not live-verified. Other 100 g: Organic Tattva ₹150, Pure &amp; Sure ₹170, Saara ₹75.</t>
  </si>
  <si>
    <t>Ventina Organics Amla Indian Gooseberry Powder for eating and hair growth</t>
  </si>
  <si>
    <t>https://www.flipkart.com/ventina-organics-amla-indian-gooseberry-powder-eating-hair-growth/p/itmcfc8992ec63b3?pid=HTTGRHNDHGPEY85Y</t>
  </si>
  <si>
    <t>Verified on live Flipkart search page 26 Oct 2026. MRP ₹349, 4.1 (4,200 ratings) - most-rated 100 g listing. Other 100 g listings ₹76-₹170 (e.g. FLORECER ₹98, 729 ratings).</t>
  </si>
  <si>
    <t>bb Royal Organic Amla Powder 100 g</t>
  </si>
  <si>
    <t>https://www.bigbasket.com/pd/40094688/bb-royal-organic-amla-powder-100-g/</t>
  </si>
  <si>
    <t>Live-checked in browser 26 Oct 2026. | Earlier research: BigBasket house brand; price from search-index snippet (MRP ₹55); not live-verified. Branded alternative: Phalada Pure &amp; Sure Organic Amla 100 g ₹161.5 (https://www.bigbasket.com/pd/40235866/puresure-organic-amla-powder-100-g/).</t>
  </si>
  <si>
    <t>CARMEL ORGANICS Shatavari Root Powder 100 Grams</t>
  </si>
  <si>
    <t>https://www.amazon.in/CARMEL-ORGANICS-Shatavari-Powder-Certified/dp/B0B7WSQVT9</t>
  </si>
  <si>
    <t>Live-checked in browser 26 Oct 2026. | Earlier research: Price from amazon.in search-index snippet (~1,800 reviews, 4.0); not live-verified. Tracker for a Carmel 100 g variant shows avg ~₹227, 12-month low ₹198 (data to Nov 2025). Other 100 g: Nutri Vowels ₹178, Vedapure ₹239.</t>
  </si>
  <si>
    <t>Humanveda Shatavari Asparagus Racemosus Root Powder Supports Healthy Infant Growth</t>
  </si>
  <si>
    <t>https://www.flipkart.com/humanveda-shatavari-asparagus-racemosus-root-powder-supports-healthy-infant-growth-100-g/p/itm32035e022a4dd?pid=AYDGBX8FFUEGBFNE</t>
  </si>
  <si>
    <t>Verified on live Flipkart search page 26 Oct 2026. MRP ₹265, 4.1 (404 ratings). Other 100 g: Humanveda Yellow ₹111, Trivang ₹181, Wild Forest ₹178.</t>
  </si>
  <si>
    <t>NOT_LISTED</t>
  </si>
  <si>
    <t>Patanjali Shatavar Churna 100 g</t>
  </si>
  <si>
    <t>https://www.bigbasket.com/pd/40075278/patanjali-shatavar-churna-100-g/</t>
  </si>
  <si>
    <t>Live-checked in browser 26 Oct 2026. No shatavari powder in stock (only tablets/capsules); Patanjali Shatavar Churna shows Currently Unavailable. | Earlier research: Price from search-index snippet (4.0, 24 ratings); not live-verified. Alternative: Herbal Canada Shatavar Churan 100 g ₹159. Several other BigBasket shatavari listings show unavailable.</t>
  </si>
  <si>
    <t>Neuherbs Spirulina Powder 100 g</t>
  </si>
  <si>
    <t>https://www.amazon.in/Neuherbs-Spirulina-Superfood-Vitamins-Minerals/dp/B0CV4ZZ7LM</t>
  </si>
  <si>
    <t>Live-checked in browser 26 Oct 2026. | Earlier research: Price from amazon.in search-index snippets (MRP ₹249, 3.9 from ~895 reviews, 1K+ bought/month); snapshots vary ₹170.29-₹190.01; not live-verified. Other 100 g: AgroIndia ₹169, Grenera ₹225, Vlado's ₹299.</t>
  </si>
  <si>
    <t>Neuherbs Spirulina Powder | 100% Pure &amp; Natural</t>
  </si>
  <si>
    <t>https://www.flipkart.com/neuherbs-spirulina-powder-100-pure-natural-immunity-digestion-skin-health/p/itmb2f332c46f517?pid=VSLGXYDR9E4UYVCK</t>
  </si>
  <si>
    <t>Verified on live Flipkart search page 26 Oct 2026. MRP ₹249, 4.0 (2,346 ratings). Other 100 g listings ₹165-₹299.</t>
  </si>
  <si>
    <t>NORMALIZED</t>
  </si>
  <si>
    <t>Nutty Yogi Spirulina Powder 70 g</t>
  </si>
  <si>
    <t>70 g</t>
  </si>
  <si>
    <t>https://www.bigbasket.com/pd/40112324/</t>
  </si>
  <si>
    <t>Live-checked in browser 26 Oct 2026. Carbamide Forte listing unavailable. | Earlier research: Price from search-index snippet; availability not confirmed; not live-verified. Thin availability on BigBasket: Nutriwish 100 g ₹350 and Natures Velvet 100 g ₹400 both marked unavailable. Treat as high outlier vs other platforms.</t>
  </si>
  <si>
    <t>Organic India (A TATA Product) Wheat Grass Powder - 100 g</t>
  </si>
  <si>
    <t>https://www.amazon.in/Organic-India-Wheat-Grass-powder/dp/B074N99PJ6</t>
  </si>
  <si>
    <t>Live-checked in browser 26 Oct 2026. | Earlier research: Price from amazon.in search-index snippets, which show ₹289 and ₹325 for the same ASIN; not live-verified. Lower-priced alternative: Neuherbs Wheatgrass 100 g ₹197 (https://www.amazon.in/Neuherbs-Wheatgrass-Ayurvedic-Supplement-Antioxidant/dp/B0BFB9F31Q).</t>
  </si>
  <si>
    <t>ORGANIC INDIA Wheat Grass Powder</t>
  </si>
  <si>
    <t>https://www.flipkart.com/organic-india-wheat-grass-powder/p/itmepb25fpshdmfm?pid=VSLEPB25KCTQABCX</t>
  </si>
  <si>
    <t>Verified on live Flipkart search page 26 Oct 2026. MRP ₹425, 4.2 (1,447 ratings) - most-rated. Cheaper popular alternative: Neuherbs Wheatgrass 100 g ₹189 (MRP ₹249, 4.1, 1,075 ratings).</t>
  </si>
  <si>
    <t>Patanjali Wheat Grass 100 g</t>
  </si>
  <si>
    <t>https://www.bigbasket.com/pd/40076293/patanjali-wheatgrass-100-g/</t>
  </si>
  <si>
    <t>Live-checked in browser 26 Oct 2026. | Earlier research: Price from search-index snippet; not live-verified. Other 100 g on BigBasket: Terra Greens ₹299, Eco Fresh ₹320, Nutriorg ₹325, By Nature ₹380.</t>
  </si>
  <si>
    <t>Holy Natural Beet Root Powder - 100 Gm</t>
  </si>
  <si>
    <t>https://www.amazon.in/Holy-Natural-Beetroot-Powder-100g/dp/B0744LYP8C</t>
  </si>
  <si>
    <t>Live-checked in browser 26 Oct 2026. | Earlier research: Food-grade listing; price from amazon.in search-index snippet; not live-verified; rating count not seen. Other 100 g: Neuherbs ₹199 (face/hair focus), Praakritik ₹204, Homegrown Platter ₹269, Mi Nature ₹319.</t>
  </si>
  <si>
    <t>OurHerb Pure &amp; Natural Beetroot powder for Health, Skin &amp; Hair with Wooden Spoon - 100g</t>
  </si>
  <si>
    <t>https://www.flipkart.com/ourherb-pure-natural-beetroot-powder-health-skin-hair-wooden-spoon-100g/p/itm64a60e469fd7c</t>
  </si>
  <si>
    <t>Verified on live Flipkart search page 26 Oct 2026. MRP ₹299, 4.1 (2,196 ratings). FLORECER 100 g ₹95 (3,459 ratings) is more-rated but marketed for face/skin.</t>
  </si>
  <si>
    <t>Praakritik Organic Beetroot Powder 100 g</t>
  </si>
  <si>
    <t>https://www.bigbasket.com/pd/40202182/praakritik-organic-beetroot-powder-100-g/</t>
  </si>
  <si>
    <t>Live-checked in browser 26 Oct 2026. | Earlier research: Price from search-index snippet (MRP ₹269, 4.5 from 16 ratings); not live-verified. Other 100 g: Raw Alchemy Organic ₹224.1, Koh! ₹199.</t>
  </si>
  <si>
    <t>INDUS VALLEY 100% Natural Pure Mulethi Powder (Yashtimadhu/Liquorice)</t>
  </si>
  <si>
    <t>https://www.amazon.in/INDUS-VALLEY-Yashimadhu-Liquorice-Glycyrrhiza/dp/B075W7ZHRS</t>
  </si>
  <si>
    <t>Live-checked in browser 26 Oct 2026. | Earlier research: Price is from a search snippet only. WebFetch of Amazon.in returned 503. A June 2026 affiliate roundup showed Rs 194. Other 100 g listings: INTIMIFY Rs 186, Forest Ocean Rs 210, 3V Rs 89.</t>
  </si>
  <si>
    <t>OurHerb Pure &amp; Natural Mulethi Powder for Health, Skin &amp; Hair with Wooden Spoon - 100g</t>
  </si>
  <si>
    <t>https://www.flipkart.com/ourherb-pure-natural-mulethi-powder-health-skin-hair-wooden-spoon-100g/p/itm1221cf69fa5f7?pid=FCPGD9W2HFU6XX4E</t>
  </si>
  <si>
    <t>Verified on the live Flipkart search page. Rated 4.3 from 2,495 ratings, the most-reviewed result. MRP Rs 299. Lewisia, the top result, was Rs 294.</t>
  </si>
  <si>
    <t>Raw Alchemy Organic Mulethi Powder 100 g</t>
  </si>
  <si>
    <t>https://www.bigbasket.com/pd/40342593/raw-alchemy-organic-mulethi-powder-100-g/</t>
  </si>
  <si>
    <t>Live-checked in browser 26 Oct 2026. | Earlier research: Price is from the search snippet (page title 'Best Price of Rs 225'). BigBasket pages returned 403 to WebFetch, so stock was not verified. A snippet also mentioned Khadi Manav Herbal Mulethi 100 g at Rs 85 (4.7 from 6 ratings), but no product URL was found. Herbal Hills Yashtimadhu 100 g is unavailable.</t>
  </si>
  <si>
    <t>Maharishi Ayurveda Triphala Churna - 100 g (Pack of 1)</t>
  </si>
  <si>
    <t>https://www.amazon.in/Maharishi-Ayurveda-Triphala-Churna-Constipation/dp/B0C3LYH5JV</t>
  </si>
  <si>
    <t>Live-checked in browser 26 Oct 2026. | Earlier research: Price is from a search snippet (4.1 from 283 ratings). Amazon page fetch returned 503. Cheaper 100 g singles in the snippets: Saara Rs 84, Riddhi Rs 139, Harold Rs 149. Patanjali was a pack of 3 at Rs 117 (about Rs 39 per 100 g) and was excluded as a multipack.</t>
  </si>
  <si>
    <t>Neuherbs Triphala Churna Powder</t>
  </si>
  <si>
    <t>https://www.flipkart.com/neuherbs-triphala-churna-powder-helps-relieve-constipation-acidity-gas-relief/p/itma08bf641301c3</t>
  </si>
  <si>
    <t>Verified on the live Flipkart search page. Rated 4.2 from 2,172 ratings, the most reviewed. MRP Rs 249.</t>
  </si>
  <si>
    <t>Patanjali Triphala Churna (B.P.N.) Powder 100 g</t>
  </si>
  <si>
    <t>https://www.bigbasket.com/pd/40375305/</t>
  </si>
  <si>
    <t>Live-checked in browser 26 Oct 2026. Baidyanath listing unavailable. | Earlier research: Price is from the search snippet. Page fetch returned 403. Other 100 g listings: Patanjali Divya Rs 50, Arya Organic Rs 169, Organic India tin Rs 216 (MRP 240).</t>
  </si>
  <si>
    <t>KILLI Haritaki / Kadukkai Powder 100g</t>
  </si>
  <si>
    <t>https://www.amazon.in/KILLI-Kadukkai-Powder-100g/dp/B07FB847V8</t>
  </si>
  <si>
    <t>Live-checked in browser 26 Oct 2026. | Earlier research: Price is from a search snippet. Amazon page fetch returned 503. Other 100 g listings ranged from Rs 50 to Rs 229: VS Products Rs 77, 3V Rs 80, ABEER Rs 149, CARMEL Organics Rs 170, Herb Store India Rs 199.</t>
  </si>
  <si>
    <t>Farmhook Organic Harad Powder - Haritaki Powder, Natural, Best Quality 100 gram</t>
  </si>
  <si>
    <t>https://www.flipkart.com/farmhook-organic-harad-powder-haritaki-powder-natural-best-quality-100-gram/p/itmd7a9958cc2395</t>
  </si>
  <si>
    <t>Verified on the live Flipkart search page. Rated 4.1 from 51 ratings; MRP Rs 400. The most-reviewed result, MedicoExperts Harad (2,205 ratings), is a 250 g pack at Rs 148 (about Rs 59.2 per 100 g), so the exact-size listing was used instead.</t>
  </si>
  <si>
    <t>Killi Kadukkai (Haritaki) Powder 100 g</t>
  </si>
  <si>
    <t>https://www.bigbasket.com/pd/40186151/</t>
  </si>
  <si>
    <t>Live-checked in browser 26 Oct 2026. Desi Utthana listing unavailable. | Earlier research: Price is from the search snippet ('Now available at Rs 170'). Page fetch returned 403. Dabur Haritaki Churna 100 g, Namhya 100 g and Herbal Hills 200 g are all listed as Currently Unavailable.</t>
  </si>
  <si>
    <t>Kamdhenu Baheda Powder 100 gms, Pack of 1 | Bibhitaki | Bahera</t>
  </si>
  <si>
    <t>https://www.amazon.in/Kamdhenu-Baheda-Powder-100gm/dp/B07LG8FBK4</t>
  </si>
  <si>
    <t>Live-checked in browser 26 Oct 2026. Listing now sells a 250 g pack at Rs 341; scaled to 100 g. | Earlier research: Price is from a search snippet. Amazon page fetch returned 503. Other 100 g listings: Odisha Ayurved Hub Rs 115, GUNMALA Rs 120, Biotic Rs 175, Nutrixia Rs 197.</t>
  </si>
  <si>
    <t>Rawmest Baheda Powder-Behda Churan-Bibhitaki Churn for Eating-best of constipation 100g</t>
  </si>
  <si>
    <t>https://www.flipkart.com/rawmest-baheda-powder-behda-churan-bibhitaki-churn-eating-best-constipation-100g/p/itmaab9dd50f987d?pid=AYDGEAZEC7TYZSXV</t>
  </si>
  <si>
    <t>Verified on the live Flipkart search page. Rated 4.3 from 88 ratings, the most reviewed of the explicitly 100 g listings. MRP Rs 299. Biotic 100 g was Rs 163.</t>
  </si>
  <si>
    <t>Bixa Botanical Baheda Powder 200 g</t>
  </si>
  <si>
    <t>200 g</t>
  </si>
  <si>
    <t>https://www.bigbasket.com/pd/40211437/bixa-botanical-baheda-powder-200-g/</t>
  </si>
  <si>
    <t>Live-checked in browser 26 Oct 2026. No baheda powder in stock; Bixa Botanical shows Currently Unavailable and search returns no results. | Earlier research: No 100 g baheda listing found on BigBasket. Linear normalization: Rs 195 for 200 g gives Rs 97.5 for 100 g. The snippet marks it Currently Unavailable. Herbal Hills 1 kg is also unavailable with no price. It is effectively not purchasable now; treat as NOT_LISTED if in-stock status is required.</t>
  </si>
  <si>
    <t>Matto Herbal Tulsi Leaf Powder (100 Gm) - Organic Holy Basil Leaves</t>
  </si>
  <si>
    <t>https://www.amazon.in/Matto-Herbal-Tulsi-Leaf-Powder/dp/B0D7PVKZYW</t>
  </si>
  <si>
    <t>Live-checked in browser 26 Oct 2026. | Earlier research: Price is from a search snippet (MRP Rs 200). Amazon page fetch returned 503. Other 100 g listings: Saara Rs 83, Herboamrit Rs 115, Online Quality Store Rs 149, Reoric Rs 179, AYURVEDASHREE Rs 199.</t>
  </si>
  <si>
    <t>ORGANIC HERBS TULSI | BASIL LEAVES POWDER 100 GM | FOR STRONG IMMUNITY POWER</t>
  </si>
  <si>
    <t>https://www.flipkart.com/organic-herbs-tulsi-basil-leaves-powder-100-gm-strong-immunity-power/p/itmd33928521d45e?pid=VSLFSV6DV4GBFGUD</t>
  </si>
  <si>
    <t>Verified on the live Flipkart search page. Rated 4.0 from 34 ratings, the most reviewed. MRP Rs 300. The other 100 g listings ranged from Rs 142 to Rs 210.</t>
  </si>
  <si>
    <t>indiSecrets Organic Tulsi Powder 100 g</t>
  </si>
  <si>
    <t>https://www.bigbasket.com/pd/40221141/indisecrets-organic-tulsi-powder-100-g/</t>
  </si>
  <si>
    <t>Live-checked in browser 26 Oct 2026. No tulsi powder in stock (only fresh leaves/tea); indiSecrets shows Currently Unavailable. | Earlier research: Price is from the search snippet and is uncertain: another snippet showed Rs 69 (42% off Rs 119). The listing is marked Currently Unavailable. Herbal Hills and Desi Utthana Tulsi Powder 100 g are also unavailable, so there is no in-stock tulsi powder on BigBasket.</t>
  </si>
  <si>
    <t>Biotic Herbal Neem Leaves Powder, Organic Neem Leaf Powder for Skin, Hair, Face and Eating - 100gm</t>
  </si>
  <si>
    <t>https://www.amazon.in/Biotic-Natural-Powder-Azadirachta-Indica/dp/B07SWWV6T5</t>
  </si>
  <si>
    <t>Live-checked in browser 26 Oct 2026. | Earlier research: Price is from a search snippet. Amazon page fetch returned 503. Other 100 g listings: Saara Rs 64, 3V Rs 72, RajPushp Rs 79, Balu Herbals Rs 90, Thanjai Rs 99, AYURVEDASHREE Rs 149.</t>
  </si>
  <si>
    <t>KHADI NATURAL Neem Leaf Powder for Natural Hair &amp; Skin Care</t>
  </si>
  <si>
    <t>https://www.flipkart.com/khadi-natural-neem-leaf-powder-hair-skin-care/p/itm9272427b2d30b?pid=HTTG6HPGYAEYDCNZ</t>
  </si>
  <si>
    <t>Verified on the live Flipkart search page. It is the top result, rated 4.2 from 223 ratings, the most reviewed. MRP Rs 249.</t>
  </si>
  <si>
    <t>Khadi Natural Neem Leaf Organic Powder - For Oil Control &amp; Deep Cleansing 100 g</t>
  </si>
  <si>
    <t>https://www.bigbasket.com/pd/40264057/khadi-natural-khadi-natural-neem-leaf-organic-powder-100gm-100gm/</t>
  </si>
  <si>
    <t>Live-checked in browser 26 Oct 2026. | Earlier research: Price is from the search snippet. Page fetch returned 403, so stock was not verified. Other 100 g listings: Raw Alchemy Organic Rs 99.6 (MRP 249), Madilu Rs 100, Navlai Rs 149.</t>
  </si>
  <si>
    <t>Everest Powder, Tikhalal Chilli, 100gram Pouch</t>
  </si>
  <si>
    <t>https://www.amazon.in/Everest-Powder-Tikhalal-Chilli-Pouch/dp/B07532KF85</t>
  </si>
  <si>
    <t>Live-checked in browser 26 Oct 2026. | Earlier research: Amazon blocked direct fetch (503); price from Amazon.in search snippets (Rs 60-65, MRP Rs 64), not verified on the live page. A snapshot marked this pouch 'Currently unavailable'. A separate Everest Tikhalal 100 g listing (B0785G955R) showed Rs 65 to Rs 99.</t>
  </si>
  <si>
    <t>EVEREST Tikhalal Chilli Powder Pack Of 1</t>
  </si>
  <si>
    <t>https://www.flipkart.com/everest-tikhalal-chilli-powder-pack-1/p/itm5f5f8e26beb04?pid=SCMGZNZDPBFNRWZY</t>
  </si>
  <si>
    <t>Seen on the Flipkart search page (MRP Rs 229, 4.0 stars from 18 ratings). This is a third-party seller and is priced well above Everest's normal 100 g price. The other Everest Tikhalal 100 g listing was Rs 150. No well-reviewed 100 g listing was found.</t>
  </si>
  <si>
    <t>Everest Powder - Tikhalal Hot Chilly, 100 g Pouch</t>
  </si>
  <si>
    <t>https://www.bigbasket.com/pd/242311/everest-powder-tikhalal-hot-chilly-100-g-pouch/</t>
  </si>
  <si>
    <t>Live-checked in browser 26 Oct 2026. | Earlier research: Rs 54 appears in the bbnow.bigbasket.com pack selector and in the search snippet. bigbasket.com returned 403, so the bbnow mirror was used.</t>
  </si>
  <si>
    <t>Everest Tikhalal Chilli Powder -200gm</t>
  </si>
  <si>
    <t>https://www.amazon.in/Everest-Tikhalal-Chilli-Powder-200g/dp/B073QVQMXQ</t>
  </si>
  <si>
    <t>Live-checked in browser 26 Oct 2026. | Earlier research: No 250 g Everest pack. Price is from a cached snippet: Rs 118 one-time purchase, Rs 124 on Amazon Fresh, MRP Rs 132. Not verified live. Scaled 118 x 250/200.</t>
  </si>
  <si>
    <t>EVEREST Tikhalal Chilli Powder (200 g)</t>
  </si>
  <si>
    <t>https://www.flipkart.com/everest-tikhalal-chilli-powder/p/itm9caf25a95d84b?pid=SCMEUNYT9GGMH99C</t>
  </si>
  <si>
    <t>Search page showed Rs 95 (MRP Rs 110, 4.5 stars from 1,463 ratings). The product page itself showed Rs 150 from seller SuperComNet with a 2-unit minimum, so the price depends on the seller. Scaled 95 x 250/200; at Rs 150 it would be Rs 187.5.</t>
  </si>
  <si>
    <t>Everest Tikhalal Chilli Powder, 200 g Pouch</t>
  </si>
  <si>
    <t>https://bbnow.bigbasket.com/pd/100004121/everest-powder-tikhalal-chilli-200-g-pouch/</t>
  </si>
  <si>
    <t>Live-checked in browser 26 Oct 2026. | Earlier research: No 250 g pack. Rs 108 was read from the bbnow page (an older snippet said Rs 102). Scaled 108 x 250/200.</t>
  </si>
  <si>
    <t>Everest Tikhalal Chilli Powder - 500gm</t>
  </si>
  <si>
    <t>https://www.amazon.in/-/hi/Everest-Everest_SKU15/dp/B00O0X763W</t>
  </si>
  <si>
    <t>Live-checked in browser 26 Oct 2026. | Earlier research: Price from a search snippet (MRP Rs 310, 7% off). Not verified live. A 'Delight Everest Tikhalal 500 GM' listing (B0BRCMZGC9) showed Rs 280.</t>
  </si>
  <si>
    <t>EVEREST Tikhalal Chilli Powder (500 g)</t>
  </si>
  <si>
    <t>https://www.flipkart.com/everest-tikhalal-chilli-powder/p/itm9caf25a95d84b?pid=SCMG2YJRAVYUGZGU</t>
  </si>
  <si>
    <t>Verified on the product page: MRP Rs 320, 23% off, Rs 232 with offers, seller SKYSELLEROFFICIAL, 4.4 stars from 109 ratings.</t>
  </si>
  <si>
    <t>Everest Tikhalal Chilli Powder/Menasina Pudi, 500 g Pouch</t>
  </si>
  <si>
    <t>https://bbnow.bigbasket.com/pd/206778/everest-tikhalal-chilli-powder-500-g-pouch/</t>
  </si>
  <si>
    <t>Live-checked in browser 26 Oct 2026. | Earlier research: Rs 260 (Rs 52 per 100 g) was read from the bbnow page. Other snippets of the same product showed Rs 236, Rs 247, Rs 253.5 and Rs 280, so the price varies by location.</t>
  </si>
  <si>
    <t>Everest Turmeric Powder -200gm</t>
  </si>
  <si>
    <t>https://www.amazon.in/Everest-Turmeric-Powder-200g/dp/B00O0X79XY</t>
  </si>
  <si>
    <t>Live-checked in browser 26 Oct 2026. | Earlier research: No Amazon.in Everest 100 g single-pack listing was found. Rs 71 is the Amazon Fresh price from a snippet (MRP Rs 96). The same snippet showed a one-time purchase price of Rs 97. Not verified live. Scaled 71 x 100/200.</t>
  </si>
  <si>
    <t>Catch Turmeric Powder</t>
  </si>
  <si>
    <t>https://www.flipkart.com/catch-turmeric-powder/p/itmex34hwrwzvk8v?pid=SCMEUE5ZA8NNQHUC</t>
  </si>
  <si>
    <t>Seen on the Flipkart search page (1,781 ratings, MRP not shown). Catch was used because the only Everest 100 g single pack, 'EVEREST Turmeric Powder Pack Of 1' (pid SCMGZNZVCGTRRVKX), is a third-party listing at Rs 165 (MRP Rs 199) with no ratings.</t>
  </si>
  <si>
    <t>Everest Turmeric Powder, 100 g Pouch</t>
  </si>
  <si>
    <t>https://www.bigbasket.com/pd/225303/everest-powder-turmeric-100-g-pouch/</t>
  </si>
  <si>
    <t>Live-checked in browser 26 Oct 2026. | Earlier research: Rs 48 was read from the bbnow pack selector. A second 100 g pouch variant showed Rs 43 (Rs 50 less 14%), and an older snippet showed Rs 44.5 (MRP Rs 48).</t>
  </si>
  <si>
    <t>Live-checked in browser 26 Oct 2026. | Earlier research: No 250 g pack. Price from a snippet: Rs 71 on Amazon Fresh, Rs 97 one-time, MRP Rs 96. Not verified live. Scaled 71 x 250/200; at Rs 97 it would be Rs 121.25.</t>
  </si>
  <si>
    <t>EVEREST Turmeric Powder 200 gm Pack of 1</t>
  </si>
  <si>
    <t>https://www.flipkart.com/everest-turmeric-powder-200-gm-pack-1/p/itm54f8a14eb457a?pid=SCMG4ZYXXTFJ5P3E</t>
  </si>
  <si>
    <t>No 250 g pack. Rs 175 is from the search page (MRP Rs 199, 127 ratings), the most-rated Everest 200 g listing. All Everest 200 g listings are third-party at Rs 158-189, which is more than the 500 g pack (Rs 168), so this figure is inflated. Scaled 175 x 250/200. Scaling the 500 g price instead gives Rs 84.</t>
  </si>
  <si>
    <t>Everest Turmeric Powder, 200 g Pouch</t>
  </si>
  <si>
    <t>https://www.bigbasket.com/pd/100004165/everest-powder-turmeric-200-g-pouch/</t>
  </si>
  <si>
    <t>Live-checked in browser 26 Oct 2026. | Earlier research: No 250 g pack. Rs 76 was read from the bbnow pack selector; older snippets showed Rs 68.6 and Rs 70. Scaled 76 x 250/200.</t>
  </si>
  <si>
    <t>Everest Turmeric Powder - 500gm</t>
  </si>
  <si>
    <t>https://www.amazon.in/Everest-Turmeric-Powder-500g/dp/B00O0X78NA</t>
  </si>
  <si>
    <t>Live-checked in browser 26 Oct 2026. | Earlier research: Price from a search snippet (MRP Rs 220, 20% off). Not verified live.</t>
  </si>
  <si>
    <t>EVEREST Turmeric Powder</t>
  </si>
  <si>
    <t>https://www.flipkart.com/everest-turmeric-powder/p/itmeuhfxf63zgbnk?pid=SCMEUHFXSTJHF4FW</t>
  </si>
  <si>
    <t>Seen on the Flipkart search page (MRP Rs 220, 753 ratings). Another 500 g Everest listing was Rs 383 and was not used.</t>
  </si>
  <si>
    <t>Everest Turmeric Powder/Arisina Pudi, 500 g Pouch</t>
  </si>
  <si>
    <t>https://bbnow.bigbasket.com/pd/265490/everest-powder-turmeric-500-g-pouch/</t>
  </si>
  <si>
    <t>Live-checked in browser 26 Oct 2026. | Earlier research: Rs 210 (Rs 42 per 100 g) was read from the bbnow page. Another snippet showed Rs 180.</t>
  </si>
  <si>
    <t>Everest Dry Ginger Powder, 100 Gram</t>
  </si>
  <si>
    <t>https://www.amazon.in/Everest-Dry-Ginger-Powder-100g/dp/B0063EHRJE</t>
  </si>
  <si>
    <t>Live-checked in browser 26 Oct 2026. | Earlier research: Price from a product-page snippet (MRP Rs 190, 37% off). Not verified live. Search and bestseller pages showed offers from Rs 64 (MRP Rs 90), and the other Everest listing (B00XBPUV14) showed Rs 128-130. The #1 bestseller is Catch Dry Ginger 90 g (B01B7DZJM2) at Rs 72.</t>
  </si>
  <si>
    <t>Bake King 100% Natural &amp; Pure Dry Ginger Powder Organic</t>
  </si>
  <si>
    <t>https://www.flipkart.com/bake-king-100-natural-pure-dry-ginger-powder-organic-100g-weight-loss-tea-hair-growth-cooking-drinking-sonth-adrak-pantry-easy-use-sprinkle-bottle-100g/p/itm9ed14e6617279?pid=SCMFWDRP4X5EFMC8</t>
  </si>
  <si>
    <t>Seen on the Flipkart search page (MRP Rs 250, 1,440 ratings), the most-rated 100 g dry ginger powder. The Everest Dry Ginger 100 g listing was Rs 189 with 4 ratings.</t>
  </si>
  <si>
    <t>Everest Powder - Dry Ginger, 100 g Carton</t>
  </si>
  <si>
    <t>https://www.bigbasket.com/pd/100004039/everest-powder-dry-ginger-100-g-carton/</t>
  </si>
  <si>
    <t>Live-checked in browser 26 Oct 2026. | Earlier research: Rs 90 was read from the bbnow page (4.3 stars, about 585 ratings). It is the only available dry ginger powder found on BigBasket.</t>
  </si>
  <si>
    <t>IndianJadiBooti Sonth Dried Ginger Powder, 250 Grams</t>
  </si>
  <si>
    <t>https://www.amazon.in/IndianJadiBooti-Sonth-Powder-250g/dp/B07CQ2SDZJ</t>
  </si>
  <si>
    <t>Live-checked in browser 26 Oct 2026. | Earlier research: Price from a snippet (4.8 stars from 8 reviews); another snapshot showed Rs 499. Not verified live. The Miltop 250 g listing (B07SNJGRGM) is currently unavailable. Other 250 g snippets: GoNutrika Rs 199, NeutraVed Rs 182, Nilgiri Marten Rs 339. Scaling the Miltop 500 g price gives about Rs 122.5.</t>
  </si>
  <si>
    <t>Kiwi Freshs Ginger Powder 250g Pack of 1 Premium Dry Ginger Powder</t>
  </si>
  <si>
    <t>https://www.flipkart.com/kiwi-freshs-ginger-powder-250g-pack-1-premium-dry/p/itmbc35708364589?pid=SCMHRF8VDPSYGFZH</t>
  </si>
  <si>
    <t>Seen on the Flipkart search page (MRP Rs 500, no ratings shown). It is the same brand as the 500 g row. Other 250 g listings: Kiwi Freshs Rs 255-298, Eatoriyumm Rs 206 (10 ratings). None of the 250 g listings is well reviewed.</t>
  </si>
  <si>
    <t>Live-checked in browser 26 Oct 2026. | Earlier research: No 250 g or 500 g dry ginger powder is on BigBasket. Scaled 90 x 2.5. The nearest larger pack, BB Royal Organic Dry Ginger Powder 200 g (Rs 140, pd/40184721), is currently unavailable; scaling it would give Rs 175.</t>
  </si>
  <si>
    <t>Miltop Dry Ginger Powder-Sunth, 500g</t>
  </si>
  <si>
    <t>https://www.amazon.in/Miltop-Ginger-Powder-500g/dp/B01A89EP26</t>
  </si>
  <si>
    <t>Live-checked in browser 26 Oct 2026. | Earlier research: Price from a snippet (MRP Rs 300, Subscribe &amp; Save Rs 220.50, 4.2 stars from 467 ratings). Other snapshots showed Rs 248-270. Not verified live.</t>
  </si>
  <si>
    <t>Kiwi Freshs Ginger Powder 500g Pack of 1 Premium Dry Ginger Powder</t>
  </si>
  <si>
    <t>https://www.flipkart.com/kiwi-freshs-ginger-powder-500g-pack-1-premium-dry/p/itm4ebf3cceeb8c9?pid=SCMHRF9RHSJQJUVD</t>
  </si>
  <si>
    <t>Seen on the Flipkart search page (MRP Rs 700, no ratings shown). A search snippet showed MilTop Ginger Powder 500 g on Flipkart at Rs 243 (MRP Rs 300; https://www.flipkart.com/miltop-ginger-powder-500gm/p/itm06aee98d536b9), but that was not verified on the page.</t>
  </si>
  <si>
    <t>Live-checked in browser 26 Oct 2026. | Earlier research: No 500 g dry ginger powder is on BigBasket. Scaled 90 x 5. Scaling the unavailable BB Royal Organic 200 g (Rs 140) would give Rs 350.</t>
  </si>
  <si>
    <t>AmazerCare Pure Lemongrass Powder - For Tea, Cooking and Seasoning | 100gm Jar</t>
  </si>
  <si>
    <t>https://www.amazon.in/AmazerCare-Pure-Lemongrass-Powder-All-Natural/dp/B0CF8LDPNX</t>
  </si>
  <si>
    <t>Live-checked in browser 26 Oct 2026. | Earlier research: From an Amazon search snippet (Amazon pages returned HTTP 503 to direct fetch). MRP 541, 3.2 stars from 10 ratings. Other 100 g listings in snippets: NutriGreen Herbs 199, BSD Organics 162, Daughter's Organic Farm 283.</t>
  </si>
  <si>
    <t>HEILEN BIOPHARM Lemongrass Powder</t>
  </si>
  <si>
    <t>https://www.flipkart.com/heilen-biopharm-lemongrass-powder/p/itmfdmbyxdhjhhj4?pid=VSLFCEBSHHVVKFRD</t>
  </si>
  <si>
    <t>Read from the live Flipkart search page. MRP 259, 3.9 stars from 16 ratings (most-rated 100 g powder). Alternatives: Amazer Care 100 g 188, Just Jaivik 100 g 142, Vedahillz 100 g 91.</t>
  </si>
  <si>
    <t>Burlyfield Lemongrass Powder - Rich In Antioxidants, Helps To Detox</t>
  </si>
  <si>
    <t>25 g</t>
  </si>
  <si>
    <t>https://www.bigbasket.com/pd/40229924/burlyfield-lemongrass-powder-rich-in-antioxidants-helps-to-detox-25-g/</t>
  </si>
  <si>
    <t>Live-checked in browser 26 Oct 2026. Burlyfield lemongrass powder shows Currently Unavailable. | Earlier research: The only lemongrass powder found on BigBasket. Price comes from a search snippet because BigBasket returned HTTP 403 to direct fetch. Normalized 55 x 4.</t>
  </si>
  <si>
    <t>Golden Tips Herbyoga Lemon Ginger Herbal Infusion Tea - Lemongrass, Ginger &amp; Lemon Peel Blend, Caffeine-Free, 100g Pouch</t>
  </si>
  <si>
    <t>https://www.amazon.in/dp/B0H628J1L1</t>
  </si>
  <si>
    <t>Live-checked in browser 26 Oct 2026. | Earlier research: Closest match: a ginger-lemongrass herbal blend, not a true masala. Price from search snippets, MRP 229. Other snapshots show 220, and 269 for a differently titled listing. The product dp URL was not exposed, so this is the search page. No 100 g ginger-lemongrass tea masala found on Amazon.in.</t>
  </si>
  <si>
    <t>Sattvahut Ginger Tulsi Lemongrass Herbal Tea, 50 Cups - 50g Loose Leaf</t>
  </si>
  <si>
    <t>50 g</t>
  </si>
  <si>
    <t>https://www.flipkart.com/sattvahut-ginger-tulsi-lemongrass-herbal-tea-natural-ingredients-50-cups-50g-loose-leaf-ginger-lemon-grass-pouch/p/itm8ba7904e385b7</t>
  </si>
  <si>
    <t>Read from the live Flipkart search page. MRP 149, 4.0 stars from 31 ratings. Normalized 102 x 2. Instant premixes (milk and sugar based) were excluded, for example Society Ginger Lemongrass 140 g at 100. VEDALEAVS Lemongrass Ginger 100 g (bags) is 336.</t>
  </si>
  <si>
    <t>Lipton Lemongrass Ginger Green Tea (25 Bags x 1.3 g)</t>
  </si>
  <si>
    <t>32.5 g</t>
  </si>
  <si>
    <t>https://www.bigbasket.com/pd/40332061/lipton-lemongrass-ginger-green-tea-325-g/</t>
  </si>
  <si>
    <t>EXCLUDED as not comparable (only substitute: Lipton Lemongrass Ginger Green Tea (25 Bags x 1.3 g), ₹200 for 32.5 g). The only non-premix ginger-lemongrass blend found. It is green tea bags, so its per-100 g price is high. The review page shows 171 (MRP 190). Price from a search snippet (BigBasket returned 403). Alternatives: Organic Wellness Lemongrass Tea 100 g tin at 249 (no ginger); Society Ginger + Lemongrass instant premix 140 g at 108 (about 77 per 100 g).</t>
  </si>
  <si>
    <t>Holy Natural Spinach Powder 100g</t>
  </si>
  <si>
    <t>https://www.amazon.in/Holy-Natural-Spinach-Powder-100g/dp/B01NAZ7ZL3</t>
  </si>
  <si>
    <t>Live-checked in browser 26 Oct 2026. | Earlier research: Price from a search snippet, MRP 280. Other 100 g listings: Trueat 119, koh! 249, Patekar Agro 215, Treasure Flavours 219.</t>
  </si>
  <si>
    <t>Holy Natural Spinach Powder - 100 GM</t>
  </si>
  <si>
    <t>https://www.flipkart.com/holy-natural-spinach-powder-100-gm/p/itmf56y8fzh2rva5?pid=VSLF54Z3VAH6KDAF</t>
  </si>
  <si>
    <t>Read from the live Flipkart search page. MRP 500, 4.1 stars from 27 ratings. Alternatives: Amazer Care 100 g 184, MNM Foods 100 g 245.</t>
  </si>
  <si>
    <t>Flavour Drum Spinach Powder - Rich In Protein, Fiber, Antioxidants, Calcium</t>
  </si>
  <si>
    <t>https://www.bigbasket.com/pd/40226683/flavour-drum-spinach-powder-rich-in-protein-fiber-antioxidants-calcium-200-g/</t>
  </si>
  <si>
    <t>Live-checked in browser 26 Oct 2026. Flavour Drum spinach powder shows Currently Unavailable. | Earlier research: Price from a search snippet (BigBasket returned 403), 3.8 rating. Normalized 200 / 2. Ishva Spinach Powder 125 g is listed but currently unavailable.</t>
  </si>
  <si>
    <t>Heilen Biopharm Lotus Petal Powder 100 g</t>
  </si>
  <si>
    <t>https://www.amazon.in/dp/B07H1HT511</t>
  </si>
  <si>
    <t>Live-checked in browser 26 Oct 2026. Kerala Naturals did not appear in live results; Heilen Biopharm 100 g used. | Earlier research: Price from a search snippet, MRP 270, 3.6 stars from 43 ratings. Another snapshot shows 243. The dp URL was not exposed, so this is the search page. Other 100 g listings: Kerala Ayurvedic 175 (B09KJ8QRY4), Heilen Biopharm 159, Saara 93, 3V Products 85.</t>
  </si>
  <si>
    <t>Kerala Naturals Lotus Powder (Nelumbo nucifera) 100gm - For Face, Skin and Hair</t>
  </si>
  <si>
    <t>https://www.flipkart.com/kerala-naturals-lotus-powder-nelumbo-nucifera-100gm-face-skin-hair-fairer-complexion-natural-conditioner/p/itme9421e2600d70?pid=FCPFMR4MKVPQQU3G</t>
  </si>
  <si>
    <t>Read from the live Flipkart search page. MRP 270, 4.1 stars from 79 ratings (most-rated). Alternatives: MeAyurv 100 g 137, sign gold 100 g 268.</t>
  </si>
  <si>
    <t>https://www.bigbasket.com/ps/?q=lotus+powder</t>
  </si>
  <si>
    <t>No lotus flower powder found. BigBasket searches returned only Lotus Herbals cosmetics, lotus stem, and red lotus flour. The BigBasket site could not be fetched directly (403), so this is based on search-engine coverage.</t>
  </si>
  <si>
    <t>Bharat Vedica Sharbati Wheat Grains, Highly Nutritious, Organic &amp; Pure, 1 Kg</t>
  </si>
  <si>
    <t>1 kg</t>
  </si>
  <si>
    <t>https://www.amazon.in/Bharat-Vedica-Sharbati-Nutritious-Additives/dp/B0DB8CTG2H</t>
  </si>
  <si>
    <t>Live-checked in browser 26 Oct 2026. | Earlier research: Price from a search snippet, MRP 150. Normalized 118 / 10. Other 1 kg grain listings: 24 Mantra Organic Wheat 85, Value Life Sharbathi 149 (B07VG6T8MJ), SundarLaxmi MP Sharbati 189-199.</t>
  </si>
  <si>
    <t>PRODUCER WHOLE WHEAT SHARBATI Whole Wheat</t>
  </si>
  <si>
    <t>https://www.flipkart.com/producer-whole-wheat-sharbati/p/itmb3043ff31c699?pid=GNMGFBXADTFZ3QMQ</t>
  </si>
  <si>
    <t>Read from the live Flipkart search page. MRP 315, 3.7 stars from 14 ratings. Normalized 142 / 10. Alternatives: Bharat Vedica 1 kg 144; Gropure Organic Sharbati 10 kg at 990 (177 ratings, most-rated) = 9.90 per 100 g.</t>
  </si>
  <si>
    <t>bb Royal Wheat - Sharbati, 1 kg Pouch</t>
  </si>
  <si>
    <t>https://www.bigbasket.com/pd/20000578/bb-royal-wheat-sharbati-1-kg-pouch/</t>
  </si>
  <si>
    <t>Live-checked in browser 26 Oct 2026. | Earlier research: Price from a search snippet (BigBasket returned 403); the snapshot date is unknown and the price looks low. MRP 75. Normalized 50.8 / 10. Also seen: bb Royal Sharbati 10 kg 468-484, bb Royal Organic Wheat Sharbati 1 kg 57, bb Popular Wheat Sharbati 1 kg 47.7.</t>
  </si>
  <si>
    <t>India Gate Basmati Rice Everyday 5 kg</t>
  </si>
  <si>
    <t>https://www.amazon.in/dp/B0BBF1FT93</t>
  </si>
  <si>
    <t>Live-checked in browser 26 Oct 2026. | Earlier research: From search-engine snapshot of Amazon results (Amazon blocks direct fetch); MRP 515, '10K+ bought in past month'. Another snapshot showed 313 (MRP 490) - price fluctuates 313-393. Not live-verified.</t>
  </si>
  <si>
    <t>INDIA GATE All Rounder Everyday Basmati Rice (Medium Grain, Polished)</t>
  </si>
  <si>
    <t>https://www.flipkart.com/india-gate-all-rounder-everyday-basmati-rice-medium-grain-polished/p/itmd3e8f4becb02e</t>
  </si>
  <si>
    <t>Fetched product page 2026-10-26: 470 (MRP 490), 3.7 stars / 988 ratings; offer price 446 with bank offers. Daawat Rozana Mogra 5 kg is 329 but is a broken-grain line.</t>
  </si>
  <si>
    <t>Search snippet only</t>
  </si>
  <si>
    <t>India Gate Everyday Basmati Rice - Fluffy &amp; Medium Grains, Non-Sticky 5 kg</t>
  </si>
  <si>
    <t>https://www.bigbasket.com/pb/india-gate/basmati-rice/</t>
  </si>
  <si>
    <t>From search snapshot of BigBasket brand page (direct fetch returns 403); MRP 515, 24% off. Not live-verified.</t>
  </si>
  <si>
    <t>Live-checked in browser 26 Oct 2026. | Earlier research: No Everyday 10/25 kg pack found on Amazon (only Mogra/broken 10 kg ~727-1000). Linear x10 from 5 kg snapshot price; not live-verified.</t>
  </si>
  <si>
    <t>No mainstream-brand everyday basmati at 10-30 kg on Flipkart (only India Gate Mogra 10 kg 576, broken grain; non-mainstream 26 kg 1121 packs 2762-3020). Linear x10 from 5 kg.</t>
  </si>
  <si>
    <t>India Gate Everyday Basmati Rice - Fluffy &amp; Medium Grains, Non-Sticky 10 kg</t>
  </si>
  <si>
    <t>10 kg</t>
  </si>
  <si>
    <t>https://www.bigbasket.com/pd/40342607/india-gate-everyday-pure-medium-grain-aged-basmati-rice-10-kg/</t>
  </si>
  <si>
    <t>Live-checked in browser 26 Oct 2026. | Earlier research: Largest everyday pack; MRP 985. Category-page snapshots showed 737.50-797.36. India Gate 25 kg (Dubar Horeca) page is unavailable. Linear x5 from 10 kg; not live-verified.</t>
  </si>
  <si>
    <t>Ayuda Organic Krishna Kamod Rice 5Kg, unpolished</t>
  </si>
  <si>
    <t>https://www.amazon.in/dp/B0CFTY376W</t>
  </si>
  <si>
    <t>Live-checked in browser 26 Oct 2026. Organic Citizen 5 kg did not appear in live results; Ayuda Organic used. | Earlier research: From search snapshot (Amazon blocks fetch); MRP 2340, 3.4 stars / 14 ratings. Organic/premium - only priced 5 kg listing found. Ayuda Organic 5 kg (B0CFTY376W) exists but price not visible.</t>
  </si>
  <si>
    <t>The Organic Citizen Organic Krishna Kamod Rice 5kg (Long Grain, Unpolished)</t>
  </si>
  <si>
    <t>https://www.flipkart.com/organic-citizen-krishna-kamod-rice-5kg-fragrant-rice-pesticide-free-long-grain-long-grain-unpolished/p/itmeabe878fc386e</t>
  </si>
  <si>
    <t>Fetched Flipkart search 2026-10-26: 1799 (MRP 2340), 4.8 stars / 4 ratings. Non-organic alternative: Vedanya Krushna Kamodh Rice 5 kg at 814 (MRP 1100, 1 rating) - itm7fd6fc0698e1c.</t>
  </si>
  <si>
    <t>https://www.bigbasket.com/pd/40281132/gokai-organics-organic-krishna-kamod-rice-highly-nutritious-boosts-energy-metabolism-1-kg/</t>
  </si>
  <si>
    <t>Only Gokai Organics 1 kg and Paraj Organic Kamod 1.5 kg pages exist, both 'Currently unavailable' with no price.</t>
  </si>
  <si>
    <t>Live-checked in browser 26 Oct 2026. | Earlier research: Linear x10 from organic 5 kg. Larger pack exists: YOGI Krishna Kamod Rice 25 kg (https://www.amazon.in/YOGI-Krishna-Kamod-Rice-25Kg/dp/B07WGYX93P/) at 4800 (=9600 for 50 kg, ~192/kg) but price tracker last checked Jan 2022 - stale, not used.</t>
  </si>
  <si>
    <t>5 kg is largest pack on Flipkart; linear x10. Using Vedanya 5 kg (814) instead would give 8140.</t>
  </si>
  <si>
    <t>No purchasable Krishna Kamod listing on BigBasket.</t>
  </si>
  <si>
    <t>https://www.amazon.in/s?k=sakar+rice</t>
  </si>
  <si>
    <t>No rice listed as Sakar/Sakkar Gujarat on Amazon.in; only 'Sakkar Chini' (UP aromatic rice, Growfarm) - different variety. If 'Sakar' means Guj-17, see Girasar/Jeerasar rows.</t>
  </si>
  <si>
    <t>https://www.flipkart.com/search?q=sakar+rice</t>
  </si>
  <si>
    <t>Flipkart auto-corrected 'sakar rice' to 'rice'; no Sakar/Sakkar/Gujarat-titled rice found. Only 'Agro Delight Shakkar Chinni' (UP variety) - different rice.</t>
  </si>
  <si>
    <t>https://www.bigbasket.com/</t>
  </si>
  <si>
    <t>No Sakar-named rice found on BigBasket. BigBasket's Gujarat variety is 'Jeerasar (Guj 17)' - see Girasar rows if Sakar = Guj 17.</t>
  </si>
  <si>
    <t>See 5 kg row.</t>
  </si>
  <si>
    <t>Ayuda Organics Jeerasar Rice, Organic Guj-17 Semi-Polished (5kg)</t>
  </si>
  <si>
    <t>https://www.amazon.in/Ayuda-Organics-Semi-Polished-Wholesome-Pesticides/dp/B0CFTWD9FV</t>
  </si>
  <si>
    <t>Live-checked in browser 26 Oct 2026. | Earlier research: Girasar treated as Jeerasar/Jirasar (Guj-17). From search snapshot (Amazon blocks fetch): 895 (179/kg), MRP 1099. Organic; only 5 kg Guj-17 on Amazon. Sajeevan Jirasar 1 kg = 299.</t>
  </si>
  <si>
    <t>Jeerasar Rice (Medium Grain, Raw) 10 kg - Unbranded (H.R.L Foods)</t>
  </si>
  <si>
    <t>https://www.flipkart.com/jeerasar-rice-medium-grain-raw/p/itma68918cd6380e</t>
  </si>
  <si>
    <t>Fetched 2026-10-26: 780, 3.3 stars / 27 ratings, seller SUGSHAANnet. Packer is Delhi-based so Guj-17 origin unconfirmed. 5 kg alt: AYUDA Organic Guj-17 Jeerasar 5 kg ~799 (MRP 899) per search snippet only, price not shown on fetch.</t>
  </si>
  <si>
    <t>bb Royal Jeerasar Rice (Guj 17) 5 kg</t>
  </si>
  <si>
    <t>https://www.bigbasket.com/pd/40049228/bb-royal-jeerasar-rice-guj-17-5-kg/</t>
  </si>
  <si>
    <t>Live-checked in browser 26 Oct 2026. | Earlier research: From search snapshot (BigBasket fetch 403); MRP 425; older snapshot 370.5. Cheaper bb Popular Jeerasar Guj 17 5 kg: 357.75-399 (pd/40049224).</t>
  </si>
  <si>
    <t>Live-checked in browser 26 Oct 2026. | Earlier research: Linear x10 from organic 5 kg; no larger pack found.</t>
  </si>
  <si>
    <t>Linear x5 from 10 kg. 'Classic Jeerasar Rice by Flipkart Grocery' 10 kg is out of stock.</t>
  </si>
  <si>
    <t>bb Royal Jeerasar Rice (Guj 17) 10 kg</t>
  </si>
  <si>
    <t>https://www.bigbasket.com/pd/40049229/bb-royal-jeerasar-rice-guj-17-10-kg/</t>
  </si>
  <si>
    <t>Live-checked in browser 26 Oct 2026. | Earlier research: Linear x5 from 10 kg (snapshots 805-850; MRP 1000 on category page). 25 kg bb Royal (Juna Chokha) and bb Popular (Nava Chokha) pages exist but unavailable, no price.</t>
  </si>
  <si>
    <t>Tata Sampann Unpolished Green Moong Dal (Whole), 500gm</t>
  </si>
  <si>
    <t>https://www.amazon.in/Tata-Sampann-Green-Moong-500g/dp/B077X8MD39</t>
  </si>
  <si>
    <t>Live-checked in browser 26 Oct 2026. | Earlier research: Price from search-index snapshot (MRP 94); Amazon pages returned HTTP 503 to direct fetch, so live price unverified.</t>
  </si>
  <si>
    <t>Tata Sampann Unpolished Green Moong Dal (Whole)</t>
  </si>
  <si>
    <t>https://www.flipkart.com/tata-sampann-unpolished-green-moong-dal-whole/p/itm07bd994e1c524?pid=PLSHF7YZGZJFQJEG</t>
  </si>
  <si>
    <t>Live page fetched 2026-10-26: Rs178 (MRP 218, 'Buy at Rs169' with offers), 5,864 ratings. 1 kg variant Rs286 (Rs28.6/100 g). Markedly higher than Amazon/BigBasket; likely third-party seller pricing.</t>
  </si>
  <si>
    <t>Tata Sampann Unpolished Green Moong - Whole, 500 g</t>
  </si>
  <si>
    <t>https://www.bigbasket.com/pd/20005213/tata-sampann-moong-whole-500-g-pouch/</t>
  </si>
  <si>
    <t>Live-checked in browser 26 Oct 2026. | Earlier research: Product-page snapshot Rs87 (MRP 99); other BigBasket snapshots Rs69-83. BigBasket blocks direct fetch (HTTP 403), so live price unverified.</t>
  </si>
  <si>
    <t>Amazon Brand - Vedaka Unpolished Yellow Moong Dal 1 Kg</t>
  </si>
  <si>
    <t>https://www.amazon.in/dp/B07BL71R71</t>
  </si>
  <si>
    <t>Live-checked in browser 26 Oct 2026. Tata Sampann 1 kg showed no buyable price. | Earlier research: Search snapshot: Rs162 (MRP 175), in stock, 9,822 ratings; another snapshot showed offers from Rs182. Live price unverified (Amazon 503).</t>
  </si>
  <si>
    <t>Yellow Moong Dal (Split) (1 kg) - unbranded</t>
  </si>
  <si>
    <t>https://www.flipkart.com/yellow-moong-dal-split/p/itmf9086d42f5d30?pid=PLSEWWBTQUG2TZWJ</t>
  </si>
  <si>
    <t>Live page fetched: Rs230 (MRP 255), 10,010 ratings (most-reviewed). Tata Sampann Unpolished Yellow Moong Dal 1 kg listed at Rs270 (itmd01e2c2c99230).</t>
  </si>
  <si>
    <t>Tata Sampann Unpolished Moong Dal, 1 kg Pouch</t>
  </si>
  <si>
    <t>https://www.bigbasket.com/pd/30002287/tata-sampann-unpolished-moong-dal-1-kg-pouch/</t>
  </si>
  <si>
    <t>Live-checked in browser 26 Oct 2026. | Earlier research: Search snapshot Rs178 (MRP 212); other snapshots Rs171-184. Live price unverified (BigBasket 403).</t>
  </si>
  <si>
    <t>Tata Sampann Unpolished Kala (Black, Brown) Chana, 1kg</t>
  </si>
  <si>
    <t>https://www.amazon.in/Tata-Sampann-Kala-Chana-1kg/dp/B077X8K4RG</t>
  </si>
  <si>
    <t>Live-checked in browser 26 Oct 2026. | Earlier research: Search snapshot Rs131 (MRP 155), ~18,200 ratings; snapshots range Rs116-131. Live price unverified (Amazon 503).</t>
  </si>
  <si>
    <t>Tata Sampann Unpolished Chana (Whole) (Kala Chana)</t>
  </si>
  <si>
    <t>https://www.flipkart.com/tata-sampann-unpolished-chana-whole/p/itm9977f15361591?pid=PLSHM7PYD4T8ZWNR</t>
  </si>
  <si>
    <t>Live page fetched: Rs142 (MRP 143, 'Buy at Rs134' with offers), 1,051 ratings; model name 'Unpolished Kala Chana 1kg'; min order 2 units.</t>
  </si>
  <si>
    <t>Tata Sampann Kala Chana - Unpolished, 1 kg Pouch</t>
  </si>
  <si>
    <t>https://www.bigbasket.com/pd/40195135/tata-sampann-unpolished-kala-chana-1-kg-pouch/</t>
  </si>
  <si>
    <t>Live-checked in browser 26 Oct 2026. | Earlier research: Search snapshot Rs120; brand page showed Rs114. bb Royal Chana Brown 1 kg Rs90 also listed. Live price unverified (BigBasket 403).</t>
  </si>
  <si>
    <t>Tata Sampann Unpolished Chana Dal, 1kg</t>
  </si>
  <si>
    <t>https://www.amazon.in/Tata-Sampann-Chana-Dal-1kg/dp/B07532J31B</t>
  </si>
  <si>
    <t>Live-checked in browser 26 Oct 2026. | Earlier research: Search snapshot Rs106 (MRP 125). Another Tata Sampann Unpolished Chana Dal Split 1Kg listing (B09M87CJLQ) showed Rs144 (MRP 148). Snapshot dates unknown; live price unverified (Amazon 503).</t>
  </si>
  <si>
    <t>Tata Sampann Unpolished Yellow Chana Dal (Split) (1 kg)</t>
  </si>
  <si>
    <t>https://www.flipkart.com/tata-sampann-unpolished-yellow-chana-dal-split/p/itm210199349460e?pid=PLSETEHQRHKRARWH</t>
  </si>
  <si>
    <t>Live page fetched: Rs147 ('Buy at Rs139' with offers), 2,768 ratings; MRP not shown.</t>
  </si>
  <si>
    <t>Tata Sampann Unpolished Chana Dal, 1 kg Pouch</t>
  </si>
  <si>
    <t>https://www.bigbasket.com/pd/40000290/tata-sampann-unpolished-chana-dal-1-kg-pouch/</t>
  </si>
  <si>
    <t>Live-checked in browser 26 Oct 2026. | Earlier research: Most frequent snapshot Rs116 (MRP 153); other snapshots Rs100.10-126. Live price unverified (BigBasket 403).</t>
  </si>
  <si>
    <t>Patanjali Pulses - Mix Dal, 1kg Pouch</t>
  </si>
  <si>
    <t>https://www.amazon.in/Patanjali-Pulses-Mix-Dal-Pouch/dp/B01BVEDR7G</t>
  </si>
  <si>
    <t>Live-checked in browser 26 Oct 2026. | Earlier research: Search snapshot Rs180 (18% off). Range on Amazon ~Rs125 (Kirana King) to Rs237 (Value Life) per kg. Live price unverified (Amazon 503).</t>
  </si>
  <si>
    <t>Sri Sauham Unpolished Mix Dal (Split)</t>
  </si>
  <si>
    <t>https://www.flipkart.com/sri-sauham-unpolished-mix-dal-split/p/itm21ed9aa728e51?pid=PLSHFFVA2CDWZHCR</t>
  </si>
  <si>
    <t>Live search page fetched: Rs160 (MRP 254), 207 ratings. Alternatives: Pearl Organic 1 kg Rs208; Vedarth Organic 1 kg Rs275 (351 ratings). No major national brand mix dal surfaced.</t>
  </si>
  <si>
    <t>bb Royal Mix Dal, 1 kg Pouch</t>
  </si>
  <si>
    <t>https://www.bigbasket.com/pd/30010466/bb-royal-mix-dal-1-kg-pouch/</t>
  </si>
  <si>
    <t>Live-checked in browser 26 Oct 2026. | Earlier research: Product-page snapshot Rs135 (MRP 150); a category page showed Rs178.88 (MRP 240), so price is inconsistent. Live price unverified (BigBasket 403).</t>
  </si>
  <si>
    <t>Herb Essential Multani Mitti Powder 100g</t>
  </si>
  <si>
    <t>https://www.amazon.in/Herb-Essential-Herbal-Multani-Powder/dp/B07HQMJ4JX</t>
  </si>
  <si>
    <t>Live-checked in browser 26 Oct 2026. | Earlier research: Price from a search snippet; Amazon 100 g listings vary widely. Others: Flower Face 60 (B0DGGJV7LS), Online Quality Store 124.60, Cura Natura 165, a generic pack 48. A lower representative choice would be about 60-125.</t>
  </si>
  <si>
    <t>BE HERBAL Multani Mitti Powder For Skin Whitening &amp; Hair Growth | 100% Natural (100gm)</t>
  </si>
  <si>
    <t>https://www.flipkart.com/herbal-multani-mitti-powder-skin-whitening-hair-growth-100-natural-100gm/p/itmde0430e50681d</t>
  </si>
  <si>
    <t>Read from the live Flipkart search page. MRP 149, 4.2 stars from 1,484 ratings (most-rated). Alternatives: ANI'S 38 (580 ratings), Valioso 79, Sanfe 59.</t>
  </si>
  <si>
    <t>Banjara's Multani Mitti Face Pack Powder</t>
  </si>
  <si>
    <t>https://www.bigbasket.com/pd/40003003/banjaras-multani-mitti-face-pack-powder-100-g/</t>
  </si>
  <si>
    <t>Price from a search snippet (BigBasket returned 403), 4.0 stars from 125 ratings. Alternative: Mirintz 100 g at 70-100.</t>
  </si>
  <si>
    <t>Sansar Organics Trichoderma Fungicide - Viride Powder (2 x 10^8 CFU/g), 200 gm</t>
  </si>
  <si>
    <t>https://www.amazon.in/Sansar-Organics%C2%AE-Trichoderma-Fungicide-Bacterial/dp/B0DKJCK2V3</t>
  </si>
  <si>
    <t>Live-checked in browser 26 Oct 2026. | Earlier research: Search snapshot Rs158. Other Amazon Trichoderma: Garden Genie 500 g Rs177.98 (Rs35.6/100 g), OrganicDews 400 g Rs193 (Rs48.25/100 g). Larger packs much cheaper per 100 g. Live price unverified.</t>
  </si>
  <si>
    <t>Agreno Trichoderma - Prevents Fungal and Bacterial Diseases in Plants (Powder)</t>
  </si>
  <si>
    <t>450 g</t>
  </si>
  <si>
    <t>https://www.flipkart.com/agreno-trichoderma-prevents-fungal-bacterial-diseases-plants-manure/p/itme4d6ba275995c?pid=SMNH65ZVEZ5HMZFJ</t>
  </si>
  <si>
    <t>Live search page fetched: Rs300 (MRP 699), 209 ratings (most-reviewed Trichoderma). Alternatives: HEDO 1 kg Rs286; Divine Tree 500 g Rs273.</t>
  </si>
  <si>
    <t>TrustBasket Neem Cake Powder - Organic Fertiliser &amp; Pest Repellent For Plants, 450 g</t>
  </si>
  <si>
    <t>https://www.bigbasket.com/pd/40311758/trustbasket-neem-cake-powder-organic-fertiliser-pest-repellent-for-plants-450-g/</t>
  </si>
  <si>
    <t>EXCLUDED as not comparable (only substitute: TrustBasket Neem Cake Powder - Organic Fertiliser &amp; Pest Repellent For Plants, 450 g, ₹109 for 450 g). Closest available: neem cake powder (fertiliser + pest repellent), NOT a microbial bio-pesticide; no Trichoderma/Beauveria found on BigBasket. Search snapshot price; live unverified.</t>
  </si>
  <si>
    <t>OrganicDews Bio NPK consortia (5x10^7 CFU/g) Bio Inoculum Fertilizer, 1 Kg</t>
  </si>
  <si>
    <t>https://www.amazon.in/OrganicDews-NPK-consortia-Fertilizer-Kg/dp/B0CPTC7M4V</t>
  </si>
  <si>
    <t>Live-checked in browser 26 Oct 2026. | Earlier research: Search snapshot Rs313 (list 550), 10 reviews. Alternatives: Katyayanii NPK consortia 1 kg Rs411; Sansar Green 200 g Rs150 (Rs75/100 g). Live price unverified.</t>
  </si>
  <si>
    <t>TrustBasket Bio NPK Fertilizer (Powder)</t>
  </si>
  <si>
    <t>https://www.flipkart.com/trustbasket-bio-npk-fertilizer/p/itm00a8dea339e48?pid=SMNH76GFGFQXGYVG</t>
  </si>
  <si>
    <t>Live search page fetched: Rs499 (MRP 799), 19 ratings. Few true microbial biofertilizer powders on Flipkart; UGAOO 'NPK 19:19:19' tagged biofertilizer is a chemical WSF, excluded.</t>
  </si>
  <si>
    <t>https://www.bigbasket.com/pd/40008611/natures-plus-bloom-macro-nutrients-nitrogen-phosphorous-potassium-200-g/</t>
  </si>
  <si>
    <t>No microbial biofertilizer (NPK consortia/Azotobacter/PSB) found. Closest: Natures Plus/Biofarm Bloom Macro Nutrients NPK 200 g Rs190 (not stated as biological). Absence based on search only.</t>
  </si>
  <si>
    <t>BloomBuddy Eggshell Powder for Plants 500g</t>
  </si>
  <si>
    <t>https://www.amazon.in/Bloombuddy-Shell-Powder-Plants-500g/dp/B0DM5RLZW5</t>
  </si>
  <si>
    <t>Live-checked in browser 26 Oct 2026. | Earlier research: Search snapshot Rs299. Range: MSV Organics 1.5 kg Rs379 (~Rs25/100 g), Grow Basket 450 g Rs199 (Rs44/100 g), Saara 500 g Rs310. Live price unverified.</t>
  </si>
  <si>
    <t>lifita Egg shell powder | plants growing Potting Mixture</t>
  </si>
  <si>
    <t>https://www.flipkart.com/lifita-egg-shell-powder-plants-growing-potting-mixture/p/itm02708f76a7604?pid=SMNHFMPYMZCTA4NK</t>
  </si>
  <si>
    <t>Exact 100 g pack, Rs120 (MRP 150), no ratings shown. Better-reviewed bulk options: MAPS Cal-E 1 kg Rs239 (39 ratings, Rs23.9/100 g); Ez Farmland 750 g Rs267 (41 ratings, Rs35.6/100 g).</t>
  </si>
  <si>
    <t>https://www.bigbasket.com/pc/kitchen-garden-pets/gardening/</t>
  </si>
  <si>
    <t>No eggshell powder for plants found on BigBasket via search. Absence based on search only (direct fetch blocked).</t>
  </si>
  <si>
    <t>GreenfieldEco 200 mesh BIOCHAR POWDER, 900 gm</t>
  </si>
  <si>
    <t>900 g</t>
  </si>
  <si>
    <t>https://www.amazon.in/GreenfieldEco-BIOCHAR-vegetables-flowers-kitchen/dp/B0C9PJNW46</t>
  </si>
  <si>
    <t>Live-checked in browser 26 Oct 2026. | Earlier research: Search snapshot Rs250 (list 500). Range: 1 kg packs Rs190-290; 5 kg BioChar Soil Conditioner Rs699 (Rs14/100 g). Live price unverified.</t>
  </si>
  <si>
    <t>MSAF ORGANICS MSAF_BIOCHAR Fertilizer (Powder)</t>
  </si>
  <si>
    <t>https://www.flipkart.com/msaf-organics-msaf-biochar-fertilizer/p/itm15e5b9115ea1c?pid=SMNHHSYTSMMDWDRA</t>
  </si>
  <si>
    <t>Live search page fetched: Rs94 (MRP 350), no ratings shown; very thin category on Flipkart. Only other: VIDA DE JARDIN Biochar 5 kg Rs797 (Rs15.94/100 g).</t>
  </si>
  <si>
    <t>No biochar listing found on BigBasket via search. Absence based on search only.</t>
  </si>
  <si>
    <t>Earthora Farms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</si>
</sst>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lt;100]&quot;₹&quot;0.00;&quot;₹&quot;#,##0"/>
    <numFmt numFmtId="165" formatCode="0.0%"/>
    <numFmt numFmtId="166" formatCode="&quot;₹&quot;#,##0.00;\-&quot;₹&quot;#,##0.00;&quot;-&quot;"/>
  </numFmts>
  <fonts count="11" x14ac:knownFonts="1">
    <font>
      <sz val="11"/>
      <color theme="1"/>
      <name val="Calibri"/>
      <family val="2"/>
      <scheme val="minor"/>
    </font>
    <font>
      <b/>
      <sz val="14"/>
      <color rgb="FF0E1F13"/>
      <name val="Arial"/>
    </font>
    <font>
      <i/>
      <sz val="9"/>
      <color rgb="FF666666"/>
      <name val="Arial"/>
    </font>
    <font>
      <b/>
      <sz val="10"/>
      <color rgb="FFFFFFFF"/>
      <name val="Arial"/>
    </font>
    <font>
      <sz val="10"/>
      <name val="Arial"/>
    </font>
    <font>
      <b/>
      <sz val="10"/>
      <name val="Arial"/>
    </font>
    <font>
      <sz val="10"/>
      <color rgb="FF0000FF"/>
      <name val="Arial"/>
    </font>
    <font>
      <b/>
      <sz val="10"/>
      <color rgb="FF9C2B1E"/>
      <name val="Arial"/>
    </font>
    <font>
      <i/>
      <sz val="10"/>
      <color rgb="FF0000FF"/>
      <name val="Arial"/>
    </font>
    <font>
      <b/>
      <sz val="11"/>
      <color rgb="FF9C2B1E"/>
      <name val="Arial"/>
    </font>
    <font>
      <u/>
      <sz val="10"/>
      <color rgb="FF0563C1"/>
      <name val="Arial"/>
    </font>
  </fonts>
  <fills count="4">
    <fill>
      <patternFill patternType="none"/>
    </fill>
    <fill>
      <patternFill patternType="gray125"/>
    </fill>
    <fill>
      <patternFill patternType="solid">
        <fgColor rgb="FF2E5B32"/>
      </patternFill>
    </fill>
    <fill>
      <patternFill patternType="solid">
        <fgColor rgb="FFFFF4CC"/>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27">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horizontal="right" vertical="center"/>
    </xf>
    <xf numFmtId="0" fontId="4" fillId="0" borderId="1" xfId="0" applyFont="1" applyBorder="1" applyAlignment="1">
      <alignment horizontal="left" vertical="center"/>
    </xf>
    <xf numFmtId="0" fontId="5" fillId="0" borderId="1" xfId="0" applyFont="1" applyBorder="1" applyAlignment="1">
      <alignment horizontal="left" vertical="center"/>
    </xf>
    <xf numFmtId="164" fontId="6" fillId="0" borderId="1" xfId="0" applyNumberFormat="1" applyFont="1" applyBorder="1" applyAlignment="1">
      <alignment horizontal="right" vertical="center"/>
    </xf>
    <xf numFmtId="164" fontId="7" fillId="0" borderId="1" xfId="0" applyNumberFormat="1" applyFont="1" applyBorder="1" applyAlignment="1">
      <alignment horizontal="right" vertical="center"/>
    </xf>
    <xf numFmtId="0" fontId="7" fillId="0" borderId="1" xfId="0" applyFont="1" applyBorder="1" applyAlignment="1">
      <alignment horizontal="left" vertical="center"/>
    </xf>
    <xf numFmtId="164" fontId="4" fillId="0" borderId="1" xfId="0" applyNumberFormat="1" applyFont="1" applyBorder="1" applyAlignment="1">
      <alignment horizontal="right" vertical="center"/>
    </xf>
    <xf numFmtId="0" fontId="2" fillId="0" borderId="1" xfId="0" applyFont="1" applyBorder="1" applyAlignment="1">
      <alignment vertical="center" wrapText="1"/>
    </xf>
    <xf numFmtId="164" fontId="2" fillId="0" borderId="1" xfId="0" applyNumberFormat="1" applyFont="1" applyBorder="1" applyAlignment="1">
      <alignment horizontal="right" vertical="center"/>
    </xf>
    <xf numFmtId="164" fontId="0" fillId="0" borderId="1" xfId="0" applyNumberFormat="1" applyBorder="1" applyAlignment="1">
      <alignment horizontal="right" vertical="center"/>
    </xf>
    <xf numFmtId="164" fontId="8" fillId="3" borderId="1" xfId="0" applyNumberFormat="1" applyFont="1" applyFill="1" applyBorder="1" applyAlignment="1">
      <alignment horizontal="right" vertical="center"/>
    </xf>
    <xf numFmtId="0" fontId="5" fillId="0" borderId="1" xfId="0" applyFont="1" applyBorder="1"/>
    <xf numFmtId="0" fontId="4" fillId="0" borderId="1" xfId="0" applyFont="1" applyBorder="1"/>
    <xf numFmtId="165" fontId="4" fillId="0" borderId="1" xfId="0" applyNumberFormat="1" applyFont="1" applyBorder="1"/>
    <xf numFmtId="164" fontId="4" fillId="0" borderId="1" xfId="0" applyNumberFormat="1" applyFont="1" applyBorder="1"/>
    <xf numFmtId="1" fontId="4" fillId="0" borderId="1" xfId="0" applyNumberFormat="1" applyFont="1" applyBorder="1"/>
    <xf numFmtId="0" fontId="5" fillId="0" borderId="0" xfId="0" applyFont="1"/>
    <xf numFmtId="0" fontId="9" fillId="0" borderId="0" xfId="0" applyFont="1"/>
    <xf numFmtId="164" fontId="9" fillId="0" borderId="0" xfId="0" applyNumberFormat="1" applyFont="1"/>
    <xf numFmtId="0" fontId="3" fillId="2" borderId="1" xfId="0" applyFont="1" applyFill="1" applyBorder="1"/>
    <xf numFmtId="0" fontId="4" fillId="0" borderId="0" xfId="0" applyFont="1"/>
    <xf numFmtId="166" fontId="4" fillId="0" borderId="0" xfId="0" applyNumberFormat="1" applyFont="1"/>
    <xf numFmtId="0" fontId="1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bigbasket.com/pd/40000290/tata-sampann-unpolished-chana-dal-1-kg-pouch/" TargetMode="External"/><Relationship Id="rId21" Type="http://schemas.openxmlformats.org/officeDocument/2006/relationships/hyperlink" Target="https://www.bigbasket.com/pd/40202182/praakritik-organic-beetroot-powder-100-g/" TargetMode="External"/><Relationship Id="rId42" Type="http://schemas.openxmlformats.org/officeDocument/2006/relationships/hyperlink" Target="https://www.bigbasket.com/pd/242311/everest-powder-tikhalal-hot-chilly-100-g-pouch/" TargetMode="External"/><Relationship Id="rId63" Type="http://schemas.openxmlformats.org/officeDocument/2006/relationships/hyperlink" Target="https://www.bigbasket.com/pd/100004039/everest-powder-dry-ginger-100-g-carton/" TargetMode="External"/><Relationship Id="rId84" Type="http://schemas.openxmlformats.org/officeDocument/2006/relationships/hyperlink" Target="https://www.bigbasket.com/pb/india-gate/basmati-rice/" TargetMode="External"/><Relationship Id="rId16" Type="http://schemas.openxmlformats.org/officeDocument/2006/relationships/hyperlink" Target="https://www.amazon.in/Organic-India-Wheat-Grass-powder/dp/B074N99PJ6" TargetMode="External"/><Relationship Id="rId107" Type="http://schemas.openxmlformats.org/officeDocument/2006/relationships/hyperlink" Target="https://www.flipkart.com/tata-sampann-unpolished-green-moong-dal-whole/p/itm07bd994e1c524?pid=PLSHF7YZGZJFQJEG" TargetMode="External"/><Relationship Id="rId11" Type="http://schemas.openxmlformats.org/officeDocument/2006/relationships/hyperlink" Target="https://www.flipkart.com/humanveda-shatavari-asparagus-racemosus-root-powder-supports-healthy-infant-growth-100-g/p/itm32035e022a4dd?pid=AYDGBX8FFUEGBFNE" TargetMode="External"/><Relationship Id="rId32" Type="http://schemas.openxmlformats.org/officeDocument/2006/relationships/hyperlink" Target="https://www.flipkart.com/rawmest-baheda-powder-behda-churan-bibhitaki-churn-eating-best-constipation-100g/p/itmaab9dd50f987d?pid=AYDGEAZEC7TYZSXV" TargetMode="External"/><Relationship Id="rId37" Type="http://schemas.openxmlformats.org/officeDocument/2006/relationships/hyperlink" Target="https://www.amazon.in/Biotic-Natural-Powder-Azadirachta-Indica/dp/B07SWWV6T5" TargetMode="External"/><Relationship Id="rId53" Type="http://schemas.openxmlformats.org/officeDocument/2006/relationships/hyperlink" Target="https://www.flipkart.com/everest-turmeric-powder-200-gm-pack-1/p/itm54f8a14eb457a?pid=SCMG4ZYXXTFJ5P3E" TargetMode="External"/><Relationship Id="rId58" Type="http://schemas.openxmlformats.org/officeDocument/2006/relationships/hyperlink" Target="https://www.amazon.in/Everest-Dry-Ginger-Powder-100g/dp/B0063EHRJE" TargetMode="External"/><Relationship Id="rId74" Type="http://schemas.openxmlformats.org/officeDocument/2006/relationships/hyperlink" Target="https://www.flipkart.com/holy-natural-spinach-powder-100-gm/p/itmf56y8fzh2rva5?pid=VSLF54Z3VAH6KDAF" TargetMode="External"/><Relationship Id="rId79" Type="http://schemas.openxmlformats.org/officeDocument/2006/relationships/hyperlink" Target="https://www.amazon.in/Bharat-Vedica-Sharbati-Nutritious-Additives/dp/B0DB8CTG2H" TargetMode="External"/><Relationship Id="rId102" Type="http://schemas.openxmlformats.org/officeDocument/2006/relationships/hyperlink" Target="https://www.bigbasket.com/pd/40049228/bb-royal-jeerasar-rice-guj-17-5-kg/" TargetMode="External"/><Relationship Id="rId123" Type="http://schemas.openxmlformats.org/officeDocument/2006/relationships/hyperlink" Target="https://www.bigbasket.com/pd/40003003/banjaras-multani-mitti-face-pack-powder-100-g/" TargetMode="External"/><Relationship Id="rId128" Type="http://schemas.openxmlformats.org/officeDocument/2006/relationships/hyperlink" Target="https://www.flipkart.com/trustbasket-bio-npk-fertilizer/p/itm00a8dea339e48?pid=SMNH76GFGFQXGYVG" TargetMode="External"/><Relationship Id="rId5" Type="http://schemas.openxmlformats.org/officeDocument/2006/relationships/hyperlink" Target="https://www.flipkart.com/trivang-100-natural-ashwagandha-powder-withania-somnifera-100g/p/itm77c024ffcce26?pid=AYDHYANZBENUM2VF" TargetMode="External"/><Relationship Id="rId90" Type="http://schemas.openxmlformats.org/officeDocument/2006/relationships/hyperlink" Target="https://www.bigbasket.com/pd/40281132/gokai-organics-organic-krishna-kamod-rice-highly-nutritious-boosts-energy-metabolism-1-kg/" TargetMode="External"/><Relationship Id="rId95" Type="http://schemas.openxmlformats.org/officeDocument/2006/relationships/hyperlink" Target="https://www.flipkart.com/search?q=sakar+rice" TargetMode="External"/><Relationship Id="rId22" Type="http://schemas.openxmlformats.org/officeDocument/2006/relationships/hyperlink" Target="https://www.amazon.in/INDUS-VALLEY-Yashimadhu-Liquorice-Glycyrrhiza/dp/B075W7ZHRS" TargetMode="External"/><Relationship Id="rId27" Type="http://schemas.openxmlformats.org/officeDocument/2006/relationships/hyperlink" Target="https://www.bigbasket.com/pd/40375305/" TargetMode="External"/><Relationship Id="rId43" Type="http://schemas.openxmlformats.org/officeDocument/2006/relationships/hyperlink" Target="https://www.amazon.in/Everest-Tikhalal-Chilli-Powder-200g/dp/B073QVQMXQ" TargetMode="External"/><Relationship Id="rId48" Type="http://schemas.openxmlformats.org/officeDocument/2006/relationships/hyperlink" Target="https://bbnow.bigbasket.com/pd/206778/everest-tikhalal-chilli-powder-500-g-pouch/" TargetMode="External"/><Relationship Id="rId64" Type="http://schemas.openxmlformats.org/officeDocument/2006/relationships/hyperlink" Target="https://www.amazon.in/Miltop-Ginger-Powder-500g/dp/B01A89EP26" TargetMode="External"/><Relationship Id="rId69" Type="http://schemas.openxmlformats.org/officeDocument/2006/relationships/hyperlink" Target="https://www.bigbasket.com/pd/40229924/burlyfield-lemongrass-powder-rich-in-antioxidants-helps-to-detox-25-g/" TargetMode="External"/><Relationship Id="rId113" Type="http://schemas.openxmlformats.org/officeDocument/2006/relationships/hyperlink" Target="https://www.flipkart.com/tata-sampann-unpolished-chana-whole/p/itm9977f15361591?pid=PLSHM7PYD4T8ZWNR" TargetMode="External"/><Relationship Id="rId118" Type="http://schemas.openxmlformats.org/officeDocument/2006/relationships/hyperlink" Target="https://www.amazon.in/Patanjali-Pulses-Mix-Dal-Pouch/dp/B01BVEDR7G" TargetMode="External"/><Relationship Id="rId134" Type="http://schemas.openxmlformats.org/officeDocument/2006/relationships/hyperlink" Target="https://www.flipkart.com/msaf-organics-msaf-biochar-fertilizer/p/itm15e5b9115ea1c?pid=SMNHHSYTSMMDWDRA" TargetMode="External"/><Relationship Id="rId80" Type="http://schemas.openxmlformats.org/officeDocument/2006/relationships/hyperlink" Target="https://www.flipkart.com/producer-whole-wheat-sharbati/p/itmb3043ff31c699?pid=GNMGFBXADTFZ3QMQ" TargetMode="External"/><Relationship Id="rId85" Type="http://schemas.openxmlformats.org/officeDocument/2006/relationships/hyperlink" Target="https://www.amazon.in/dp/B0BBF1FT93" TargetMode="External"/><Relationship Id="rId12" Type="http://schemas.openxmlformats.org/officeDocument/2006/relationships/hyperlink" Target="https://www.bigbasket.com/pd/40075278/patanjali-shatavar-churna-100-g/" TargetMode="External"/><Relationship Id="rId17" Type="http://schemas.openxmlformats.org/officeDocument/2006/relationships/hyperlink" Target="https://www.flipkart.com/organic-india-wheat-grass-powder/p/itmepb25fpshdmfm?pid=VSLEPB25KCTQABCX" TargetMode="External"/><Relationship Id="rId33" Type="http://schemas.openxmlformats.org/officeDocument/2006/relationships/hyperlink" Target="https://www.bigbasket.com/pd/40211437/bixa-botanical-baheda-powder-200-g/" TargetMode="External"/><Relationship Id="rId38" Type="http://schemas.openxmlformats.org/officeDocument/2006/relationships/hyperlink" Target="https://www.flipkart.com/khadi-natural-neem-leaf-powder-hair-skin-care/p/itm9272427b2d30b?pid=HTTG6HPGYAEYDCNZ" TargetMode="External"/><Relationship Id="rId59" Type="http://schemas.openxmlformats.org/officeDocument/2006/relationships/hyperlink" Target="https://www.flipkart.com/bake-king-100-natural-pure-dry-ginger-powder-organic-100g-weight-loss-tea-hair-growth-cooking-drinking-sonth-adrak-pantry-easy-use-sprinkle-bottle-100g/p/itm9ed14e6617279?pid=SCMFWDRP4X5EFMC8" TargetMode="External"/><Relationship Id="rId103" Type="http://schemas.openxmlformats.org/officeDocument/2006/relationships/hyperlink" Target="https://www.amazon.in/Ayuda-Organics-Semi-Polished-Wholesome-Pesticides/dp/B0CFTWD9FV" TargetMode="External"/><Relationship Id="rId108" Type="http://schemas.openxmlformats.org/officeDocument/2006/relationships/hyperlink" Target="https://www.bigbasket.com/pd/20005213/tata-sampann-moong-whole-500-g-pouch/" TargetMode="External"/><Relationship Id="rId124" Type="http://schemas.openxmlformats.org/officeDocument/2006/relationships/hyperlink" Target="https://www.amazon.in/Sansar-Organics%C2%AE-Trichoderma-Fungicide-Bacterial/dp/B0DKJCK2V3" TargetMode="External"/><Relationship Id="rId129" Type="http://schemas.openxmlformats.org/officeDocument/2006/relationships/hyperlink" Target="https://www.bigbasket.com/pd/40008611/natures-plus-bloom-macro-nutrients-nitrogen-phosphorous-potassium-200-g/" TargetMode="External"/><Relationship Id="rId54" Type="http://schemas.openxmlformats.org/officeDocument/2006/relationships/hyperlink" Target="https://www.bigbasket.com/pd/100004165/everest-powder-turmeric-200-g-pouch/" TargetMode="External"/><Relationship Id="rId70" Type="http://schemas.openxmlformats.org/officeDocument/2006/relationships/hyperlink" Target="https://www.amazon.in/dp/B0H628J1L1" TargetMode="External"/><Relationship Id="rId75" Type="http://schemas.openxmlformats.org/officeDocument/2006/relationships/hyperlink" Target="https://www.bigbasket.com/pd/40226683/flavour-drum-spinach-powder-rich-in-protein-fiber-antioxidants-calcium-200-g/" TargetMode="External"/><Relationship Id="rId91" Type="http://schemas.openxmlformats.org/officeDocument/2006/relationships/hyperlink" Target="https://www.amazon.in/dp/B0CFTY376W" TargetMode="External"/><Relationship Id="rId96" Type="http://schemas.openxmlformats.org/officeDocument/2006/relationships/hyperlink" Target="https://www.bigbasket.com/" TargetMode="External"/><Relationship Id="rId1" Type="http://schemas.openxmlformats.org/officeDocument/2006/relationships/hyperlink" Target="https://www.amazon.in/TATA-Product-Essential-Nutrition-Superfood/dp/B01JCFDX4S" TargetMode="External"/><Relationship Id="rId6" Type="http://schemas.openxmlformats.org/officeDocument/2006/relationships/hyperlink" Target="https://www.bigbasket.com/pd/40350884/kapiva-organic-ashwagandha-powder-100-g/" TargetMode="External"/><Relationship Id="rId23" Type="http://schemas.openxmlformats.org/officeDocument/2006/relationships/hyperlink" Target="https://www.flipkart.com/ourherb-pure-natural-mulethi-powder-health-skin-hair-wooden-spoon-100g/p/itm1221cf69fa5f7?pid=FCPGD9W2HFU6XX4E" TargetMode="External"/><Relationship Id="rId28" Type="http://schemas.openxmlformats.org/officeDocument/2006/relationships/hyperlink" Target="https://www.amazon.in/KILLI-Kadukkai-Powder-100g/dp/B07FB847V8" TargetMode="External"/><Relationship Id="rId49" Type="http://schemas.openxmlformats.org/officeDocument/2006/relationships/hyperlink" Target="https://www.amazon.in/Everest-Turmeric-Powder-200g/dp/B00O0X79XY" TargetMode="External"/><Relationship Id="rId114" Type="http://schemas.openxmlformats.org/officeDocument/2006/relationships/hyperlink" Target="https://www.bigbasket.com/pd/40195135/tata-sampann-unpolished-kala-chana-1-kg-pouch/" TargetMode="External"/><Relationship Id="rId119" Type="http://schemas.openxmlformats.org/officeDocument/2006/relationships/hyperlink" Target="https://www.flipkart.com/sri-sauham-unpolished-mix-dal-split/p/itm21ed9aa728e51?pid=PLSHFFVA2CDWZHCR" TargetMode="External"/><Relationship Id="rId44" Type="http://schemas.openxmlformats.org/officeDocument/2006/relationships/hyperlink" Target="https://www.flipkart.com/everest-tikhalal-chilli-powder/p/itm9caf25a95d84b?pid=SCMEUNYT9GGMH99C" TargetMode="External"/><Relationship Id="rId60" Type="http://schemas.openxmlformats.org/officeDocument/2006/relationships/hyperlink" Target="https://www.bigbasket.com/pd/100004039/everest-powder-dry-ginger-100-g-carton/" TargetMode="External"/><Relationship Id="rId65" Type="http://schemas.openxmlformats.org/officeDocument/2006/relationships/hyperlink" Target="https://www.flipkart.com/kiwi-freshs-ginger-powder-500g-pack-1-premium-dry/p/itm4ebf3cceeb8c9?pid=SCMHRF9RHSJQJUVD" TargetMode="External"/><Relationship Id="rId81" Type="http://schemas.openxmlformats.org/officeDocument/2006/relationships/hyperlink" Target="https://www.bigbasket.com/pd/20000578/bb-royal-wheat-sharbati-1-kg-pouch/" TargetMode="External"/><Relationship Id="rId86" Type="http://schemas.openxmlformats.org/officeDocument/2006/relationships/hyperlink" Target="https://www.flipkart.com/india-gate-all-rounder-everyday-basmati-rice-medium-grain-polished/p/itmd3e8f4becb02e" TargetMode="External"/><Relationship Id="rId130" Type="http://schemas.openxmlformats.org/officeDocument/2006/relationships/hyperlink" Target="https://www.amazon.in/Bloombuddy-Shell-Powder-Plants-500g/dp/B0DM5RLZW5" TargetMode="External"/><Relationship Id="rId135" Type="http://schemas.openxmlformats.org/officeDocument/2006/relationships/hyperlink" Target="https://www.bigbasket.com/pc/kitchen-garden-pets/gardening/" TargetMode="External"/><Relationship Id="rId13" Type="http://schemas.openxmlformats.org/officeDocument/2006/relationships/hyperlink" Target="https://www.amazon.in/Neuherbs-Spirulina-Superfood-Vitamins-Minerals/dp/B0CV4ZZ7LM" TargetMode="External"/><Relationship Id="rId18" Type="http://schemas.openxmlformats.org/officeDocument/2006/relationships/hyperlink" Target="https://www.bigbasket.com/pd/40076293/patanjali-wheatgrass-100-g/" TargetMode="External"/><Relationship Id="rId39" Type="http://schemas.openxmlformats.org/officeDocument/2006/relationships/hyperlink" Target="https://www.bigbasket.com/pd/40264057/khadi-natural-khadi-natural-neem-leaf-organic-powder-100gm-100gm/" TargetMode="External"/><Relationship Id="rId109" Type="http://schemas.openxmlformats.org/officeDocument/2006/relationships/hyperlink" Target="https://www.amazon.in/dp/B07BL71R71" TargetMode="External"/><Relationship Id="rId34" Type="http://schemas.openxmlformats.org/officeDocument/2006/relationships/hyperlink" Target="https://www.amazon.in/Matto-Herbal-Tulsi-Leaf-Powder/dp/B0D7PVKZYW" TargetMode="External"/><Relationship Id="rId50" Type="http://schemas.openxmlformats.org/officeDocument/2006/relationships/hyperlink" Target="https://www.flipkart.com/catch-turmeric-powder/p/itmex34hwrwzvk8v?pid=SCMEUE5ZA8NNQHUC" TargetMode="External"/><Relationship Id="rId55" Type="http://schemas.openxmlformats.org/officeDocument/2006/relationships/hyperlink" Target="https://www.amazon.in/Everest-Turmeric-Powder-500g/dp/B00O0X78NA" TargetMode="External"/><Relationship Id="rId76" Type="http://schemas.openxmlformats.org/officeDocument/2006/relationships/hyperlink" Target="https://www.amazon.in/dp/B07H1HT511" TargetMode="External"/><Relationship Id="rId97" Type="http://schemas.openxmlformats.org/officeDocument/2006/relationships/hyperlink" Target="https://www.amazon.in/s?k=sakar+rice" TargetMode="External"/><Relationship Id="rId104" Type="http://schemas.openxmlformats.org/officeDocument/2006/relationships/hyperlink" Target="https://www.flipkart.com/jeerasar-rice-medium-grain-raw/p/itma68918cd6380e" TargetMode="External"/><Relationship Id="rId120" Type="http://schemas.openxmlformats.org/officeDocument/2006/relationships/hyperlink" Target="https://www.bigbasket.com/pd/30010466/bb-royal-mix-dal-1-kg-pouch/" TargetMode="External"/><Relationship Id="rId125" Type="http://schemas.openxmlformats.org/officeDocument/2006/relationships/hyperlink" Target="https://www.flipkart.com/agreno-trichoderma-prevents-fungal-bacterial-diseases-plants-manure/p/itme4d6ba275995c?pid=SMNH65ZVEZ5HMZFJ" TargetMode="External"/><Relationship Id="rId7" Type="http://schemas.openxmlformats.org/officeDocument/2006/relationships/hyperlink" Target="https://www.amazon.in/Indus-Valley-Organic-Indian-Gooseberry/dp/B01MXRZJSB" TargetMode="External"/><Relationship Id="rId71" Type="http://schemas.openxmlformats.org/officeDocument/2006/relationships/hyperlink" Target="https://www.flipkart.com/sattvahut-ginger-tulsi-lemongrass-herbal-tea-natural-ingredients-50-cups-50g-loose-leaf-ginger-lemon-grass-pouch/p/itm8ba7904e385b7" TargetMode="External"/><Relationship Id="rId92" Type="http://schemas.openxmlformats.org/officeDocument/2006/relationships/hyperlink" Target="https://www.flipkart.com/organic-citizen-krishna-kamod-rice-5kg-fragrant-rice-pesticide-free-long-grain-long-grain-unpolished/p/itmeabe878fc386e" TargetMode="External"/><Relationship Id="rId2" Type="http://schemas.openxmlformats.org/officeDocument/2006/relationships/hyperlink" Target="https://www.flipkart.com/trivang-organic-moringa-leaf-powder-weight-loss-powerful-vitamins-antioxidants/p/itm76e1a6fe97441?pid=VSLH3F6FVZSTPGZV" TargetMode="External"/><Relationship Id="rId29" Type="http://schemas.openxmlformats.org/officeDocument/2006/relationships/hyperlink" Target="https://www.flipkart.com/farmhook-organic-harad-powder-haritaki-powder-natural-best-quality-100-gram/p/itmd7a9958cc2395" TargetMode="External"/><Relationship Id="rId24" Type="http://schemas.openxmlformats.org/officeDocument/2006/relationships/hyperlink" Target="https://www.bigbasket.com/pd/40342593/raw-alchemy-organic-mulethi-powder-100-g/" TargetMode="External"/><Relationship Id="rId40" Type="http://schemas.openxmlformats.org/officeDocument/2006/relationships/hyperlink" Target="https://www.amazon.in/Everest-Powder-Tikhalal-Chilli-Pouch/dp/B07532KF85" TargetMode="External"/><Relationship Id="rId45" Type="http://schemas.openxmlformats.org/officeDocument/2006/relationships/hyperlink" Target="https://bbnow.bigbasket.com/pd/100004121/everest-powder-tikhalal-chilli-200-g-pouch/" TargetMode="External"/><Relationship Id="rId66" Type="http://schemas.openxmlformats.org/officeDocument/2006/relationships/hyperlink" Target="https://www.bigbasket.com/pd/100004039/everest-powder-dry-ginger-100-g-carton/" TargetMode="External"/><Relationship Id="rId87" Type="http://schemas.openxmlformats.org/officeDocument/2006/relationships/hyperlink" Target="https://www.bigbasket.com/pd/40342607/india-gate-everyday-pure-medium-grain-aged-basmati-rice-10-kg/" TargetMode="External"/><Relationship Id="rId110" Type="http://schemas.openxmlformats.org/officeDocument/2006/relationships/hyperlink" Target="https://www.flipkart.com/yellow-moong-dal-split/p/itmf9086d42f5d30?pid=PLSEWWBTQUG2TZWJ" TargetMode="External"/><Relationship Id="rId115" Type="http://schemas.openxmlformats.org/officeDocument/2006/relationships/hyperlink" Target="https://www.amazon.in/Tata-Sampann-Chana-Dal-1kg/dp/B07532J31B" TargetMode="External"/><Relationship Id="rId131" Type="http://schemas.openxmlformats.org/officeDocument/2006/relationships/hyperlink" Target="https://www.flipkart.com/lifita-egg-shell-powder-plants-growing-potting-mixture/p/itm02708f76a7604?pid=SMNHFMPYMZCTA4NK" TargetMode="External"/><Relationship Id="rId61" Type="http://schemas.openxmlformats.org/officeDocument/2006/relationships/hyperlink" Target="https://www.amazon.in/IndianJadiBooti-Sonth-Powder-250g/dp/B07CQ2SDZJ" TargetMode="External"/><Relationship Id="rId82" Type="http://schemas.openxmlformats.org/officeDocument/2006/relationships/hyperlink" Target="https://www.amazon.in/dp/B0BBF1FT93" TargetMode="External"/><Relationship Id="rId19" Type="http://schemas.openxmlformats.org/officeDocument/2006/relationships/hyperlink" Target="https://www.amazon.in/Holy-Natural-Beetroot-Powder-100g/dp/B0744LYP8C" TargetMode="External"/><Relationship Id="rId14" Type="http://schemas.openxmlformats.org/officeDocument/2006/relationships/hyperlink" Target="https://www.flipkart.com/neuherbs-spirulina-powder-100-pure-natural-immunity-digestion-skin-health/p/itmb2f332c46f517?pid=VSLGXYDR9E4UYVCK" TargetMode="External"/><Relationship Id="rId30" Type="http://schemas.openxmlformats.org/officeDocument/2006/relationships/hyperlink" Target="https://www.bigbasket.com/pd/40186151/" TargetMode="External"/><Relationship Id="rId35" Type="http://schemas.openxmlformats.org/officeDocument/2006/relationships/hyperlink" Target="https://www.flipkart.com/organic-herbs-tulsi-basil-leaves-powder-100-gm-strong-immunity-power/p/itmd33928521d45e?pid=VSLFSV6DV4GBFGUD" TargetMode="External"/><Relationship Id="rId56" Type="http://schemas.openxmlformats.org/officeDocument/2006/relationships/hyperlink" Target="https://www.flipkart.com/everest-turmeric-powder/p/itmeuhfxf63zgbnk?pid=SCMEUHFXSTJHF4FW" TargetMode="External"/><Relationship Id="rId77" Type="http://schemas.openxmlformats.org/officeDocument/2006/relationships/hyperlink" Target="https://www.flipkart.com/kerala-naturals-lotus-powder-nelumbo-nucifera-100gm-face-skin-hair-fairer-complexion-natural-conditioner/p/itme9421e2600d70?pid=FCPFMR4MKVPQQU3G" TargetMode="External"/><Relationship Id="rId100" Type="http://schemas.openxmlformats.org/officeDocument/2006/relationships/hyperlink" Target="https://www.amazon.in/Ayuda-Organics-Semi-Polished-Wholesome-Pesticides/dp/B0CFTWD9FV" TargetMode="External"/><Relationship Id="rId105" Type="http://schemas.openxmlformats.org/officeDocument/2006/relationships/hyperlink" Target="https://www.bigbasket.com/pd/40049229/bb-royal-jeerasar-rice-guj-17-10-kg/" TargetMode="External"/><Relationship Id="rId126" Type="http://schemas.openxmlformats.org/officeDocument/2006/relationships/hyperlink" Target="https://www.bigbasket.com/pd/40311758/trustbasket-neem-cake-powder-organic-fertiliser-pest-repellent-for-plants-450-g/" TargetMode="External"/><Relationship Id="rId8" Type="http://schemas.openxmlformats.org/officeDocument/2006/relationships/hyperlink" Target="https://www.flipkart.com/ventina-organics-amla-indian-gooseberry-powder-eating-hair-growth/p/itmcfc8992ec63b3?pid=HTTGRHNDHGPEY85Y" TargetMode="External"/><Relationship Id="rId51" Type="http://schemas.openxmlformats.org/officeDocument/2006/relationships/hyperlink" Target="https://www.bigbasket.com/pd/225303/everest-powder-turmeric-100-g-pouch/" TargetMode="External"/><Relationship Id="rId72" Type="http://schemas.openxmlformats.org/officeDocument/2006/relationships/hyperlink" Target="https://www.bigbasket.com/pd/40332061/lipton-lemongrass-ginger-green-tea-325-g/" TargetMode="External"/><Relationship Id="rId93" Type="http://schemas.openxmlformats.org/officeDocument/2006/relationships/hyperlink" Target="https://www.bigbasket.com/pd/40281132/gokai-organics-organic-krishna-kamod-rice-highly-nutritious-boosts-energy-metabolism-1-kg/" TargetMode="External"/><Relationship Id="rId98" Type="http://schemas.openxmlformats.org/officeDocument/2006/relationships/hyperlink" Target="https://www.flipkart.com/search?q=sakar+rice" TargetMode="External"/><Relationship Id="rId121" Type="http://schemas.openxmlformats.org/officeDocument/2006/relationships/hyperlink" Target="https://www.amazon.in/Herb-Essential-Herbal-Multani-Powder/dp/B07HQMJ4JX" TargetMode="External"/><Relationship Id="rId3" Type="http://schemas.openxmlformats.org/officeDocument/2006/relationships/hyperlink" Target="https://www.bigbasket.com/pd/60000402/organic-india-moringa-powder-100-g-tin/" TargetMode="External"/><Relationship Id="rId25" Type="http://schemas.openxmlformats.org/officeDocument/2006/relationships/hyperlink" Target="https://www.amazon.in/Maharishi-Ayurveda-Triphala-Churna-Constipation/dp/B0C3LYH5JV" TargetMode="External"/><Relationship Id="rId46" Type="http://schemas.openxmlformats.org/officeDocument/2006/relationships/hyperlink" Target="https://www.amazon.in/-/hi/Everest-Everest_SKU15/dp/B00O0X763W" TargetMode="External"/><Relationship Id="rId67" Type="http://schemas.openxmlformats.org/officeDocument/2006/relationships/hyperlink" Target="https://www.amazon.in/AmazerCare-Pure-Lemongrass-Powder-All-Natural/dp/B0CF8LDPNX" TargetMode="External"/><Relationship Id="rId116" Type="http://schemas.openxmlformats.org/officeDocument/2006/relationships/hyperlink" Target="https://www.flipkart.com/tata-sampann-unpolished-yellow-chana-dal-split/p/itm210199349460e?pid=PLSETEHQRHKRARWH" TargetMode="External"/><Relationship Id="rId20" Type="http://schemas.openxmlformats.org/officeDocument/2006/relationships/hyperlink" Target="https://www.flipkart.com/ourherb-pure-natural-beetroot-powder-health-skin-hair-wooden-spoon-100g/p/itm64a60e469fd7c" TargetMode="External"/><Relationship Id="rId41" Type="http://schemas.openxmlformats.org/officeDocument/2006/relationships/hyperlink" Target="https://www.flipkart.com/everest-tikhalal-chilli-powder-pack-1/p/itm5f5f8e26beb04?pid=SCMGZNZDPBFNRWZY" TargetMode="External"/><Relationship Id="rId62" Type="http://schemas.openxmlformats.org/officeDocument/2006/relationships/hyperlink" Target="https://www.flipkart.com/kiwi-freshs-ginger-powder-250g-pack-1-premium-dry/p/itmbc35708364589?pid=SCMHRF8VDPSYGFZH" TargetMode="External"/><Relationship Id="rId83" Type="http://schemas.openxmlformats.org/officeDocument/2006/relationships/hyperlink" Target="https://www.flipkart.com/india-gate-all-rounder-everyday-basmati-rice-medium-grain-polished/p/itmd3e8f4becb02e" TargetMode="External"/><Relationship Id="rId88" Type="http://schemas.openxmlformats.org/officeDocument/2006/relationships/hyperlink" Target="https://www.amazon.in/dp/B0CFTY376W" TargetMode="External"/><Relationship Id="rId111" Type="http://schemas.openxmlformats.org/officeDocument/2006/relationships/hyperlink" Target="https://www.bigbasket.com/pd/30002287/tata-sampann-unpolished-moong-dal-1-kg-pouch/" TargetMode="External"/><Relationship Id="rId132" Type="http://schemas.openxmlformats.org/officeDocument/2006/relationships/hyperlink" Target="https://www.bigbasket.com/pc/kitchen-garden-pets/gardening/" TargetMode="External"/><Relationship Id="rId15" Type="http://schemas.openxmlformats.org/officeDocument/2006/relationships/hyperlink" Target="https://www.bigbasket.com/pd/40112324/" TargetMode="External"/><Relationship Id="rId36" Type="http://schemas.openxmlformats.org/officeDocument/2006/relationships/hyperlink" Target="https://www.bigbasket.com/pd/40221141/indisecrets-organic-tulsi-powder-100-g/" TargetMode="External"/><Relationship Id="rId57" Type="http://schemas.openxmlformats.org/officeDocument/2006/relationships/hyperlink" Target="https://bbnow.bigbasket.com/pd/265490/everest-powder-turmeric-500-g-pouch/" TargetMode="External"/><Relationship Id="rId106" Type="http://schemas.openxmlformats.org/officeDocument/2006/relationships/hyperlink" Target="https://www.amazon.in/Tata-Sampann-Green-Moong-500g/dp/B077X8MD39" TargetMode="External"/><Relationship Id="rId127" Type="http://schemas.openxmlformats.org/officeDocument/2006/relationships/hyperlink" Target="https://www.amazon.in/OrganicDews-NPK-consortia-Fertilizer-Kg/dp/B0CPTC7M4V" TargetMode="External"/><Relationship Id="rId10" Type="http://schemas.openxmlformats.org/officeDocument/2006/relationships/hyperlink" Target="https://www.amazon.in/CARMEL-ORGANICS-Shatavari-Powder-Certified/dp/B0B7WSQVT9" TargetMode="External"/><Relationship Id="rId31" Type="http://schemas.openxmlformats.org/officeDocument/2006/relationships/hyperlink" Target="https://www.amazon.in/Kamdhenu-Baheda-Powder-100gm/dp/B07LG8FBK4" TargetMode="External"/><Relationship Id="rId52" Type="http://schemas.openxmlformats.org/officeDocument/2006/relationships/hyperlink" Target="https://www.amazon.in/Everest-Turmeric-Powder-200g/dp/B00O0X79XY" TargetMode="External"/><Relationship Id="rId73" Type="http://schemas.openxmlformats.org/officeDocument/2006/relationships/hyperlink" Target="https://www.amazon.in/Holy-Natural-Spinach-Powder-100g/dp/B01NAZ7ZL3" TargetMode="External"/><Relationship Id="rId78" Type="http://schemas.openxmlformats.org/officeDocument/2006/relationships/hyperlink" Target="https://www.bigbasket.com/ps/?q=lotus+powder" TargetMode="External"/><Relationship Id="rId94" Type="http://schemas.openxmlformats.org/officeDocument/2006/relationships/hyperlink" Target="https://www.amazon.in/s?k=sakar+rice" TargetMode="External"/><Relationship Id="rId99" Type="http://schemas.openxmlformats.org/officeDocument/2006/relationships/hyperlink" Target="https://www.bigbasket.com/" TargetMode="External"/><Relationship Id="rId101" Type="http://schemas.openxmlformats.org/officeDocument/2006/relationships/hyperlink" Target="https://www.flipkart.com/jeerasar-rice-medium-grain-raw/p/itma68918cd6380e" TargetMode="External"/><Relationship Id="rId122" Type="http://schemas.openxmlformats.org/officeDocument/2006/relationships/hyperlink" Target="https://www.flipkart.com/herbal-multani-mitti-powder-skin-whitening-hair-growth-100-natural-100gm/p/itmde0430e50681d" TargetMode="External"/><Relationship Id="rId4" Type="http://schemas.openxmlformats.org/officeDocument/2006/relationships/hyperlink" Target="https://www.amazon.in/Neuherbs-Ashwagandha-Ayurvedic-Supplement-Certified/dp/B0BF9J6JV3" TargetMode="External"/><Relationship Id="rId9" Type="http://schemas.openxmlformats.org/officeDocument/2006/relationships/hyperlink" Target="https://www.bigbasket.com/pd/40094688/bb-royal-organic-amla-powder-100-g/" TargetMode="External"/><Relationship Id="rId26" Type="http://schemas.openxmlformats.org/officeDocument/2006/relationships/hyperlink" Target="https://www.flipkart.com/neuherbs-triphala-churna-powder-helps-relieve-constipation-acidity-gas-relief/p/itma08bf641301c3" TargetMode="External"/><Relationship Id="rId47" Type="http://schemas.openxmlformats.org/officeDocument/2006/relationships/hyperlink" Target="https://www.flipkart.com/everest-tikhalal-chilli-powder/p/itm9caf25a95d84b?pid=SCMG2YJRAVYUGZGU" TargetMode="External"/><Relationship Id="rId68" Type="http://schemas.openxmlformats.org/officeDocument/2006/relationships/hyperlink" Target="https://www.flipkart.com/heilen-biopharm-lemongrass-powder/p/itmfdmbyxdhjhhj4?pid=VSLFCEBSHHVVKFRD" TargetMode="External"/><Relationship Id="rId89" Type="http://schemas.openxmlformats.org/officeDocument/2006/relationships/hyperlink" Target="https://www.flipkart.com/organic-citizen-krishna-kamod-rice-5kg-fragrant-rice-pesticide-free-long-grain-long-grain-unpolished/p/itmeabe878fc386e" TargetMode="External"/><Relationship Id="rId112" Type="http://schemas.openxmlformats.org/officeDocument/2006/relationships/hyperlink" Target="https://www.amazon.in/Tata-Sampann-Kala-Chana-1kg/dp/B077X8K4RG" TargetMode="External"/><Relationship Id="rId133" Type="http://schemas.openxmlformats.org/officeDocument/2006/relationships/hyperlink" Target="https://www.amazon.in/GreenfieldEco-BIOCHAR-vegetables-flowers-kitchen/dp/B0C9PJNW4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1"/>
  <sheetViews>
    <sheetView tabSelected="1" workbookViewId="0">
      <pane xSplit="2" ySplit="4" topLeftCell="C5" activePane="bottomRight" state="frozen"/>
      <selection pane="topRight"/>
      <selection pane="bottomLeft"/>
      <selection pane="bottomRight"/>
    </sheetView>
  </sheetViews>
  <sheetFormatPr defaultRowHeight="14.4" x14ac:dyDescent="0.3"/>
  <cols>
    <col min="1" max="1" width="5" customWidth="1"/>
    <col min="2" max="2" width="34" customWidth="1"/>
    <col min="3" max="3" width="9" customWidth="1"/>
    <col min="4" max="7" width="11" customWidth="1"/>
    <col min="8" max="8" width="12" customWidth="1"/>
    <col min="9" max="9" width="11" customWidth="1"/>
    <col min="10" max="10" width="12" customWidth="1"/>
    <col min="11" max="12" width="11" customWidth="1"/>
    <col min="13" max="13" width="12" customWidth="1"/>
    <col min="14" max="14" width="48" customWidth="1"/>
  </cols>
  <sheetData>
    <row r="1" spans="1:14" ht="17.399999999999999" x14ac:dyDescent="0.3">
      <c r="A1" s="1" t="s">
        <v>481</v>
      </c>
    </row>
    <row r="2" spans="1:14" x14ac:dyDescent="0.3">
      <c r="A2" s="2"/>
    </row>
    <row r="4" spans="1:14" ht="30" customHeight="1" x14ac:dyDescent="0.3">
      <c r="A4" s="3" t="s">
        <v>0</v>
      </c>
      <c r="B4" s="3" t="s">
        <v>1</v>
      </c>
      <c r="C4" s="3" t="s">
        <v>2</v>
      </c>
      <c r="D4" s="3" t="s">
        <v>3</v>
      </c>
      <c r="E4" s="3" t="s">
        <v>4</v>
      </c>
      <c r="F4" s="3" t="s">
        <v>5</v>
      </c>
      <c r="G4" s="3" t="s">
        <v>6</v>
      </c>
      <c r="H4" s="3" t="s">
        <v>7</v>
      </c>
      <c r="I4" s="3" t="s">
        <v>8</v>
      </c>
      <c r="J4" s="3" t="s">
        <v>9</v>
      </c>
      <c r="K4" s="3" t="s">
        <v>10</v>
      </c>
      <c r="L4" s="3" t="s">
        <v>11</v>
      </c>
      <c r="M4" s="3" t="s">
        <v>12</v>
      </c>
      <c r="N4" s="3" t="s">
        <v>13</v>
      </c>
    </row>
    <row r="5" spans="1:14" x14ac:dyDescent="0.3">
      <c r="A5" s="4">
        <v>1</v>
      </c>
      <c r="B5" s="6" t="s">
        <v>14</v>
      </c>
      <c r="C5" s="5" t="s">
        <v>15</v>
      </c>
      <c r="D5" s="7">
        <v>255</v>
      </c>
      <c r="E5" s="7">
        <v>237</v>
      </c>
      <c r="F5" s="7">
        <v>136</v>
      </c>
      <c r="G5" s="7">
        <v>219.6</v>
      </c>
      <c r="H5" s="8">
        <f t="shared" ref="H5:H49" si="0">IF(COUNT(E5:G5)=0,"",MAX(E5:G5))</f>
        <v>237</v>
      </c>
      <c r="I5" s="9" t="str">
        <f t="shared" ref="I5:I49" si="1">IF(H5="","",INDEX($E$4:$G$4,MATCH(H5,E5:G5,0)))</f>
        <v>Amazon</v>
      </c>
      <c r="J5" s="10">
        <f t="shared" ref="J5:J49" si="2">IF(COUNT(E5:G5)=0,"",MIN(E5:G5))</f>
        <v>136</v>
      </c>
      <c r="K5" s="5" t="str">
        <f t="shared" ref="K5:K49" si="3">IF(J5="","",INDEX($E$4:$G$4,MATCH(J5,E5:G5,0)))</f>
        <v>Flipkart</v>
      </c>
      <c r="L5" s="10">
        <f t="shared" ref="L5:L49" si="4">IF(COUNT(E5:G5)&lt;2,"",H5-J5)</f>
        <v>101</v>
      </c>
      <c r="M5" s="10">
        <f t="shared" ref="M5:M49" si="5">IF(COUNT(E5:G5)=0,"",AVERAGE(E5:G5))</f>
        <v>197.53333333333333</v>
      </c>
      <c r="N5" s="11" t="s">
        <v>16</v>
      </c>
    </row>
    <row r="6" spans="1:14" x14ac:dyDescent="0.3">
      <c r="A6" s="4">
        <v>2</v>
      </c>
      <c r="B6" s="6" t="s">
        <v>17</v>
      </c>
      <c r="C6" s="5" t="s">
        <v>15</v>
      </c>
      <c r="D6" s="12" t="s">
        <v>18</v>
      </c>
      <c r="E6" s="7">
        <v>189</v>
      </c>
      <c r="F6" s="7">
        <v>124</v>
      </c>
      <c r="G6" s="7">
        <v>175</v>
      </c>
      <c r="H6" s="8">
        <f t="shared" si="0"/>
        <v>189</v>
      </c>
      <c r="I6" s="9" t="str">
        <f t="shared" si="1"/>
        <v>Amazon</v>
      </c>
      <c r="J6" s="10">
        <f t="shared" si="2"/>
        <v>124</v>
      </c>
      <c r="K6" s="5" t="str">
        <f t="shared" si="3"/>
        <v>Flipkart</v>
      </c>
      <c r="L6" s="10">
        <f t="shared" si="4"/>
        <v>65</v>
      </c>
      <c r="M6" s="10">
        <f t="shared" si="5"/>
        <v>162.66666666666666</v>
      </c>
      <c r="N6" s="11"/>
    </row>
    <row r="7" spans="1:14" x14ac:dyDescent="0.3">
      <c r="A7" s="4">
        <v>3</v>
      </c>
      <c r="B7" s="6" t="s">
        <v>19</v>
      </c>
      <c r="C7" s="5" t="s">
        <v>15</v>
      </c>
      <c r="D7" s="12" t="s">
        <v>18</v>
      </c>
      <c r="E7" s="7">
        <v>204</v>
      </c>
      <c r="F7" s="7">
        <v>67</v>
      </c>
      <c r="G7" s="7">
        <v>54</v>
      </c>
      <c r="H7" s="8">
        <f t="shared" si="0"/>
        <v>204</v>
      </c>
      <c r="I7" s="9" t="str">
        <f t="shared" si="1"/>
        <v>Amazon</v>
      </c>
      <c r="J7" s="10">
        <f t="shared" si="2"/>
        <v>54</v>
      </c>
      <c r="K7" s="5" t="str">
        <f t="shared" si="3"/>
        <v>BigBasket</v>
      </c>
      <c r="L7" s="10">
        <f t="shared" si="4"/>
        <v>150</v>
      </c>
      <c r="M7" s="10">
        <f t="shared" si="5"/>
        <v>108.33333333333333</v>
      </c>
      <c r="N7" s="11"/>
    </row>
    <row r="8" spans="1:14" x14ac:dyDescent="0.3">
      <c r="A8" s="4">
        <v>4</v>
      </c>
      <c r="B8" s="6" t="s">
        <v>20</v>
      </c>
      <c r="C8" s="5" t="s">
        <v>15</v>
      </c>
      <c r="D8" s="12" t="s">
        <v>18</v>
      </c>
      <c r="E8" s="7">
        <v>199</v>
      </c>
      <c r="F8" s="7">
        <v>120</v>
      </c>
      <c r="G8" s="13"/>
      <c r="H8" s="8">
        <f t="shared" si="0"/>
        <v>199</v>
      </c>
      <c r="I8" s="9" t="str">
        <f t="shared" si="1"/>
        <v>Amazon</v>
      </c>
      <c r="J8" s="10">
        <f t="shared" si="2"/>
        <v>120</v>
      </c>
      <c r="K8" s="5" t="str">
        <f t="shared" si="3"/>
        <v>Flipkart</v>
      </c>
      <c r="L8" s="10">
        <f t="shared" si="4"/>
        <v>79</v>
      </c>
      <c r="M8" s="10">
        <f t="shared" si="5"/>
        <v>159.5</v>
      </c>
      <c r="N8" s="11"/>
    </row>
    <row r="9" spans="1:14" x14ac:dyDescent="0.3">
      <c r="A9" s="4">
        <v>5</v>
      </c>
      <c r="B9" s="6" t="s">
        <v>21</v>
      </c>
      <c r="C9" s="5" t="s">
        <v>15</v>
      </c>
      <c r="D9" s="12" t="s">
        <v>18</v>
      </c>
      <c r="E9" s="7">
        <v>170</v>
      </c>
      <c r="F9" s="7">
        <v>189</v>
      </c>
      <c r="G9" s="14">
        <v>251.1</v>
      </c>
      <c r="H9" s="8">
        <f t="shared" si="0"/>
        <v>251.1</v>
      </c>
      <c r="I9" s="9" t="str">
        <f t="shared" si="1"/>
        <v>BigBasket</v>
      </c>
      <c r="J9" s="10">
        <f t="shared" si="2"/>
        <v>170</v>
      </c>
      <c r="K9" s="5" t="str">
        <f t="shared" si="3"/>
        <v>Amazon</v>
      </c>
      <c r="L9" s="10">
        <f t="shared" si="4"/>
        <v>81.099999999999994</v>
      </c>
      <c r="M9" s="10">
        <f t="shared" si="5"/>
        <v>203.36666666666667</v>
      </c>
      <c r="N9" s="11" t="s">
        <v>22</v>
      </c>
    </row>
    <row r="10" spans="1:14" x14ac:dyDescent="0.3">
      <c r="A10" s="4">
        <v>6</v>
      </c>
      <c r="B10" s="6" t="s">
        <v>23</v>
      </c>
      <c r="C10" s="5" t="s">
        <v>15</v>
      </c>
      <c r="D10" s="12" t="s">
        <v>18</v>
      </c>
      <c r="E10" s="7">
        <v>289</v>
      </c>
      <c r="F10" s="7">
        <v>417</v>
      </c>
      <c r="G10" s="7">
        <v>350</v>
      </c>
      <c r="H10" s="8">
        <f t="shared" si="0"/>
        <v>417</v>
      </c>
      <c r="I10" s="9" t="str">
        <f t="shared" si="1"/>
        <v>Flipkart</v>
      </c>
      <c r="J10" s="10">
        <f t="shared" si="2"/>
        <v>289</v>
      </c>
      <c r="K10" s="5" t="str">
        <f t="shared" si="3"/>
        <v>Amazon</v>
      </c>
      <c r="L10" s="10">
        <f t="shared" si="4"/>
        <v>128</v>
      </c>
      <c r="M10" s="10">
        <f t="shared" si="5"/>
        <v>352</v>
      </c>
      <c r="N10" s="11"/>
    </row>
    <row r="11" spans="1:14" x14ac:dyDescent="0.3">
      <c r="A11" s="4">
        <v>7</v>
      </c>
      <c r="B11" s="6" t="s">
        <v>24</v>
      </c>
      <c r="C11" s="5" t="s">
        <v>15</v>
      </c>
      <c r="D11" s="12" t="s">
        <v>18</v>
      </c>
      <c r="E11" s="7">
        <v>149</v>
      </c>
      <c r="F11" s="7">
        <v>147</v>
      </c>
      <c r="G11" s="7">
        <v>269</v>
      </c>
      <c r="H11" s="8">
        <f t="shared" si="0"/>
        <v>269</v>
      </c>
      <c r="I11" s="9" t="str">
        <f t="shared" si="1"/>
        <v>BigBasket</v>
      </c>
      <c r="J11" s="10">
        <f t="shared" si="2"/>
        <v>147</v>
      </c>
      <c r="K11" s="5" t="str">
        <f t="shared" si="3"/>
        <v>Flipkart</v>
      </c>
      <c r="L11" s="10">
        <f t="shared" si="4"/>
        <v>122</v>
      </c>
      <c r="M11" s="10">
        <f t="shared" si="5"/>
        <v>188.33333333333334</v>
      </c>
      <c r="N11" s="11"/>
    </row>
    <row r="12" spans="1:14" x14ac:dyDescent="0.3">
      <c r="A12" s="4">
        <v>8</v>
      </c>
      <c r="B12" s="6" t="s">
        <v>25</v>
      </c>
      <c r="C12" s="5" t="s">
        <v>15</v>
      </c>
      <c r="D12" s="12" t="s">
        <v>18</v>
      </c>
      <c r="E12" s="7">
        <v>239</v>
      </c>
      <c r="F12" s="7">
        <v>140</v>
      </c>
      <c r="G12" s="7">
        <v>249</v>
      </c>
      <c r="H12" s="8">
        <f t="shared" si="0"/>
        <v>249</v>
      </c>
      <c r="I12" s="9" t="str">
        <f t="shared" si="1"/>
        <v>BigBasket</v>
      </c>
      <c r="J12" s="10">
        <f t="shared" si="2"/>
        <v>140</v>
      </c>
      <c r="K12" s="5" t="str">
        <f t="shared" si="3"/>
        <v>Flipkart</v>
      </c>
      <c r="L12" s="10">
        <f t="shared" si="4"/>
        <v>109</v>
      </c>
      <c r="M12" s="10">
        <f t="shared" si="5"/>
        <v>209.33333333333334</v>
      </c>
      <c r="N12" s="11"/>
    </row>
    <row r="13" spans="1:14" x14ac:dyDescent="0.3">
      <c r="A13" s="4">
        <v>9</v>
      </c>
      <c r="B13" s="6" t="s">
        <v>26</v>
      </c>
      <c r="C13" s="5" t="s">
        <v>15</v>
      </c>
      <c r="D13" s="12" t="s">
        <v>18</v>
      </c>
      <c r="E13" s="7">
        <v>180</v>
      </c>
      <c r="F13" s="7">
        <v>179</v>
      </c>
      <c r="G13" s="7">
        <v>55</v>
      </c>
      <c r="H13" s="8">
        <f t="shared" si="0"/>
        <v>180</v>
      </c>
      <c r="I13" s="9" t="str">
        <f t="shared" si="1"/>
        <v>Amazon</v>
      </c>
      <c r="J13" s="10">
        <f t="shared" si="2"/>
        <v>55</v>
      </c>
      <c r="K13" s="5" t="str">
        <f t="shared" si="3"/>
        <v>BigBasket</v>
      </c>
      <c r="L13" s="10">
        <f t="shared" si="4"/>
        <v>125</v>
      </c>
      <c r="M13" s="10">
        <f t="shared" si="5"/>
        <v>138</v>
      </c>
      <c r="N13" s="11"/>
    </row>
    <row r="14" spans="1:14" x14ac:dyDescent="0.3">
      <c r="A14" s="4">
        <v>10</v>
      </c>
      <c r="B14" s="6" t="s">
        <v>27</v>
      </c>
      <c r="C14" s="5" t="s">
        <v>15</v>
      </c>
      <c r="D14" s="12" t="s">
        <v>18</v>
      </c>
      <c r="E14" s="7">
        <v>122</v>
      </c>
      <c r="F14" s="7">
        <v>134</v>
      </c>
      <c r="G14" s="7">
        <v>95</v>
      </c>
      <c r="H14" s="8">
        <f t="shared" si="0"/>
        <v>134</v>
      </c>
      <c r="I14" s="9" t="str">
        <f t="shared" si="1"/>
        <v>Flipkart</v>
      </c>
      <c r="J14" s="10">
        <f t="shared" si="2"/>
        <v>95</v>
      </c>
      <c r="K14" s="5" t="str">
        <f t="shared" si="3"/>
        <v>BigBasket</v>
      </c>
      <c r="L14" s="10">
        <f t="shared" si="4"/>
        <v>39</v>
      </c>
      <c r="M14" s="10">
        <f t="shared" si="5"/>
        <v>117</v>
      </c>
      <c r="N14" s="11"/>
    </row>
    <row r="15" spans="1:14" x14ac:dyDescent="0.3">
      <c r="A15" s="4">
        <v>11</v>
      </c>
      <c r="B15" s="6" t="s">
        <v>28</v>
      </c>
      <c r="C15" s="5" t="s">
        <v>15</v>
      </c>
      <c r="D15" s="12" t="s">
        <v>18</v>
      </c>
      <c r="E15" s="14">
        <v>136.4</v>
      </c>
      <c r="F15" s="7">
        <v>145</v>
      </c>
      <c r="G15" s="13"/>
      <c r="H15" s="8">
        <f t="shared" si="0"/>
        <v>145</v>
      </c>
      <c r="I15" s="9" t="str">
        <f t="shared" si="1"/>
        <v>Flipkart</v>
      </c>
      <c r="J15" s="10">
        <f t="shared" si="2"/>
        <v>136.4</v>
      </c>
      <c r="K15" s="5" t="str">
        <f t="shared" si="3"/>
        <v>Amazon</v>
      </c>
      <c r="L15" s="10">
        <f t="shared" si="4"/>
        <v>8.5999999999999943</v>
      </c>
      <c r="M15" s="10">
        <f t="shared" si="5"/>
        <v>140.69999999999999</v>
      </c>
      <c r="N15" s="11"/>
    </row>
    <row r="16" spans="1:14" x14ac:dyDescent="0.3">
      <c r="A16" s="4">
        <v>12</v>
      </c>
      <c r="B16" s="6" t="s">
        <v>29</v>
      </c>
      <c r="C16" s="5" t="s">
        <v>15</v>
      </c>
      <c r="D16" s="12" t="s">
        <v>18</v>
      </c>
      <c r="E16" s="7">
        <v>137</v>
      </c>
      <c r="F16" s="7">
        <v>170</v>
      </c>
      <c r="G16" s="13"/>
      <c r="H16" s="8">
        <f t="shared" si="0"/>
        <v>170</v>
      </c>
      <c r="I16" s="9" t="str">
        <f t="shared" si="1"/>
        <v>Flipkart</v>
      </c>
      <c r="J16" s="10">
        <f t="shared" si="2"/>
        <v>137</v>
      </c>
      <c r="K16" s="5" t="str">
        <f t="shared" si="3"/>
        <v>Amazon</v>
      </c>
      <c r="L16" s="10">
        <f t="shared" si="4"/>
        <v>33</v>
      </c>
      <c r="M16" s="10">
        <f t="shared" si="5"/>
        <v>153.5</v>
      </c>
      <c r="N16" s="11"/>
    </row>
    <row r="17" spans="1:14" x14ac:dyDescent="0.3">
      <c r="A17" s="4">
        <v>13</v>
      </c>
      <c r="B17" s="6" t="s">
        <v>30</v>
      </c>
      <c r="C17" s="5" t="s">
        <v>15</v>
      </c>
      <c r="D17" s="12" t="s">
        <v>18</v>
      </c>
      <c r="E17" s="7">
        <v>149</v>
      </c>
      <c r="F17" s="7">
        <v>132</v>
      </c>
      <c r="G17" s="7">
        <v>249</v>
      </c>
      <c r="H17" s="8">
        <f t="shared" si="0"/>
        <v>249</v>
      </c>
      <c r="I17" s="9" t="str">
        <f t="shared" si="1"/>
        <v>BigBasket</v>
      </c>
      <c r="J17" s="10">
        <f t="shared" si="2"/>
        <v>132</v>
      </c>
      <c r="K17" s="5" t="str">
        <f t="shared" si="3"/>
        <v>Flipkart</v>
      </c>
      <c r="L17" s="10">
        <f t="shared" si="4"/>
        <v>117</v>
      </c>
      <c r="M17" s="10">
        <f t="shared" si="5"/>
        <v>176.66666666666666</v>
      </c>
      <c r="N17" s="11"/>
    </row>
    <row r="18" spans="1:14" x14ac:dyDescent="0.3">
      <c r="A18" s="4">
        <v>14</v>
      </c>
      <c r="B18" s="6" t="s">
        <v>31</v>
      </c>
      <c r="C18" s="5" t="s">
        <v>15</v>
      </c>
      <c r="D18" s="12" t="s">
        <v>18</v>
      </c>
      <c r="E18" s="7">
        <v>66</v>
      </c>
      <c r="F18" s="7">
        <v>140</v>
      </c>
      <c r="G18" s="7">
        <v>54</v>
      </c>
      <c r="H18" s="8">
        <f t="shared" si="0"/>
        <v>140</v>
      </c>
      <c r="I18" s="9" t="str">
        <f t="shared" si="1"/>
        <v>Flipkart</v>
      </c>
      <c r="J18" s="10">
        <f t="shared" si="2"/>
        <v>54</v>
      </c>
      <c r="K18" s="5" t="str">
        <f t="shared" si="3"/>
        <v>BigBasket</v>
      </c>
      <c r="L18" s="10">
        <f t="shared" si="4"/>
        <v>86</v>
      </c>
      <c r="M18" s="10">
        <f t="shared" si="5"/>
        <v>86.666666666666671</v>
      </c>
      <c r="N18" s="11"/>
    </row>
    <row r="19" spans="1:14" x14ac:dyDescent="0.3">
      <c r="A19" s="4">
        <v>15</v>
      </c>
      <c r="B19" s="6" t="s">
        <v>31</v>
      </c>
      <c r="C19" s="5" t="s">
        <v>32</v>
      </c>
      <c r="D19" s="12" t="s">
        <v>18</v>
      </c>
      <c r="E19" s="14">
        <v>140</v>
      </c>
      <c r="F19" s="14">
        <v>118.75</v>
      </c>
      <c r="G19" s="14">
        <v>135</v>
      </c>
      <c r="H19" s="8">
        <f t="shared" si="0"/>
        <v>140</v>
      </c>
      <c r="I19" s="9" t="str">
        <f t="shared" si="1"/>
        <v>Amazon</v>
      </c>
      <c r="J19" s="10">
        <f t="shared" si="2"/>
        <v>118.75</v>
      </c>
      <c r="K19" s="5" t="str">
        <f t="shared" si="3"/>
        <v>Flipkart</v>
      </c>
      <c r="L19" s="10">
        <f t="shared" si="4"/>
        <v>21.25</v>
      </c>
      <c r="M19" s="10">
        <f t="shared" si="5"/>
        <v>131.25</v>
      </c>
      <c r="N19" s="11" t="s">
        <v>33</v>
      </c>
    </row>
    <row r="20" spans="1:14" x14ac:dyDescent="0.3">
      <c r="A20" s="4">
        <v>16</v>
      </c>
      <c r="B20" s="6" t="s">
        <v>31</v>
      </c>
      <c r="C20" s="5" t="s">
        <v>34</v>
      </c>
      <c r="D20" s="12" t="s">
        <v>18</v>
      </c>
      <c r="E20" s="7">
        <v>287</v>
      </c>
      <c r="F20" s="7">
        <v>245</v>
      </c>
      <c r="G20" s="7">
        <v>260</v>
      </c>
      <c r="H20" s="8">
        <f t="shared" si="0"/>
        <v>287</v>
      </c>
      <c r="I20" s="9" t="str">
        <f t="shared" si="1"/>
        <v>Amazon</v>
      </c>
      <c r="J20" s="10">
        <f t="shared" si="2"/>
        <v>245</v>
      </c>
      <c r="K20" s="5" t="str">
        <f t="shared" si="3"/>
        <v>Flipkart</v>
      </c>
      <c r="L20" s="10">
        <f t="shared" si="4"/>
        <v>42</v>
      </c>
      <c r="M20" s="10">
        <f t="shared" si="5"/>
        <v>264</v>
      </c>
      <c r="N20" s="11"/>
    </row>
    <row r="21" spans="1:14" x14ac:dyDescent="0.3">
      <c r="A21" s="4">
        <v>17</v>
      </c>
      <c r="B21" s="6" t="s">
        <v>35</v>
      </c>
      <c r="C21" s="5" t="s">
        <v>15</v>
      </c>
      <c r="D21" s="12" t="s">
        <v>18</v>
      </c>
      <c r="E21" s="14">
        <v>48</v>
      </c>
      <c r="F21" s="7">
        <v>46</v>
      </c>
      <c r="G21" s="7">
        <v>43</v>
      </c>
      <c r="H21" s="8">
        <f t="shared" si="0"/>
        <v>48</v>
      </c>
      <c r="I21" s="9" t="str">
        <f t="shared" si="1"/>
        <v>Amazon</v>
      </c>
      <c r="J21" s="10">
        <f t="shared" si="2"/>
        <v>43</v>
      </c>
      <c r="K21" s="5" t="str">
        <f t="shared" si="3"/>
        <v>BigBasket</v>
      </c>
      <c r="L21" s="10">
        <f t="shared" si="4"/>
        <v>5</v>
      </c>
      <c r="M21" s="10">
        <f t="shared" si="5"/>
        <v>45.666666666666664</v>
      </c>
      <c r="N21" s="11"/>
    </row>
    <row r="22" spans="1:14" ht="22.8" x14ac:dyDescent="0.3">
      <c r="A22" s="4">
        <v>18</v>
      </c>
      <c r="B22" s="6" t="s">
        <v>35</v>
      </c>
      <c r="C22" s="5" t="s">
        <v>32</v>
      </c>
      <c r="D22" s="12" t="s">
        <v>18</v>
      </c>
      <c r="E22" s="14">
        <v>120</v>
      </c>
      <c r="F22" s="14">
        <v>218.75</v>
      </c>
      <c r="G22" s="14">
        <v>95</v>
      </c>
      <c r="H22" s="8">
        <f t="shared" si="0"/>
        <v>218.75</v>
      </c>
      <c r="I22" s="9" t="str">
        <f t="shared" si="1"/>
        <v>Flipkart</v>
      </c>
      <c r="J22" s="10">
        <f t="shared" si="2"/>
        <v>95</v>
      </c>
      <c r="K22" s="5" t="str">
        <f t="shared" si="3"/>
        <v>BigBasket</v>
      </c>
      <c r="L22" s="10">
        <f t="shared" si="4"/>
        <v>123.75</v>
      </c>
      <c r="M22" s="10">
        <f t="shared" si="5"/>
        <v>144.58333333333334</v>
      </c>
      <c r="N22" s="11" t="s">
        <v>36</v>
      </c>
    </row>
    <row r="23" spans="1:14" x14ac:dyDescent="0.3">
      <c r="A23" s="4">
        <v>19</v>
      </c>
      <c r="B23" s="6" t="s">
        <v>35</v>
      </c>
      <c r="C23" s="5" t="s">
        <v>34</v>
      </c>
      <c r="D23" s="12" t="s">
        <v>18</v>
      </c>
      <c r="E23" s="7">
        <v>240</v>
      </c>
      <c r="F23" s="7">
        <v>168</v>
      </c>
      <c r="G23" s="7">
        <v>210</v>
      </c>
      <c r="H23" s="8">
        <f t="shared" si="0"/>
        <v>240</v>
      </c>
      <c r="I23" s="9" t="str">
        <f t="shared" si="1"/>
        <v>Amazon</v>
      </c>
      <c r="J23" s="10">
        <f t="shared" si="2"/>
        <v>168</v>
      </c>
      <c r="K23" s="5" t="str">
        <f t="shared" si="3"/>
        <v>Flipkart</v>
      </c>
      <c r="L23" s="10">
        <f t="shared" si="4"/>
        <v>72</v>
      </c>
      <c r="M23" s="10">
        <f t="shared" si="5"/>
        <v>206</v>
      </c>
      <c r="N23" s="11"/>
    </row>
    <row r="24" spans="1:14" x14ac:dyDescent="0.3">
      <c r="A24" s="4">
        <v>20</v>
      </c>
      <c r="B24" s="6" t="s">
        <v>37</v>
      </c>
      <c r="C24" s="5" t="s">
        <v>15</v>
      </c>
      <c r="D24" s="12" t="s">
        <v>18</v>
      </c>
      <c r="E24" s="7">
        <v>90</v>
      </c>
      <c r="F24" s="7">
        <v>118</v>
      </c>
      <c r="G24" s="7">
        <v>90</v>
      </c>
      <c r="H24" s="8">
        <f t="shared" si="0"/>
        <v>118</v>
      </c>
      <c r="I24" s="9" t="str">
        <f t="shared" si="1"/>
        <v>Flipkart</v>
      </c>
      <c r="J24" s="10">
        <f t="shared" si="2"/>
        <v>90</v>
      </c>
      <c r="K24" s="5" t="str">
        <f t="shared" si="3"/>
        <v>Amazon</v>
      </c>
      <c r="L24" s="10">
        <f t="shared" si="4"/>
        <v>28</v>
      </c>
      <c r="M24" s="10">
        <f t="shared" si="5"/>
        <v>99.333333333333329</v>
      </c>
      <c r="N24" s="11"/>
    </row>
    <row r="25" spans="1:14" x14ac:dyDescent="0.3">
      <c r="A25" s="4">
        <v>21</v>
      </c>
      <c r="B25" s="6" t="s">
        <v>37</v>
      </c>
      <c r="C25" s="5" t="s">
        <v>32</v>
      </c>
      <c r="D25" s="12" t="s">
        <v>18</v>
      </c>
      <c r="E25" s="7">
        <v>298</v>
      </c>
      <c r="F25" s="7">
        <v>270</v>
      </c>
      <c r="G25" s="14">
        <v>225</v>
      </c>
      <c r="H25" s="8">
        <f t="shared" si="0"/>
        <v>298</v>
      </c>
      <c r="I25" s="9" t="str">
        <f t="shared" si="1"/>
        <v>Amazon</v>
      </c>
      <c r="J25" s="10">
        <f t="shared" si="2"/>
        <v>225</v>
      </c>
      <c r="K25" s="5" t="str">
        <f t="shared" si="3"/>
        <v>BigBasket</v>
      </c>
      <c r="L25" s="10">
        <f t="shared" si="4"/>
        <v>73</v>
      </c>
      <c r="M25" s="10">
        <f t="shared" si="5"/>
        <v>264.33333333333331</v>
      </c>
      <c r="N25" s="11" t="s">
        <v>38</v>
      </c>
    </row>
    <row r="26" spans="1:14" x14ac:dyDescent="0.3">
      <c r="A26" s="4">
        <v>22</v>
      </c>
      <c r="B26" s="6" t="s">
        <v>37</v>
      </c>
      <c r="C26" s="5" t="s">
        <v>34</v>
      </c>
      <c r="D26" s="12" t="s">
        <v>18</v>
      </c>
      <c r="E26" s="7">
        <v>265</v>
      </c>
      <c r="F26" s="7">
        <v>377</v>
      </c>
      <c r="G26" s="14">
        <v>450</v>
      </c>
      <c r="H26" s="8">
        <f t="shared" si="0"/>
        <v>450</v>
      </c>
      <c r="I26" s="9" t="str">
        <f t="shared" si="1"/>
        <v>BigBasket</v>
      </c>
      <c r="J26" s="10">
        <f t="shared" si="2"/>
        <v>265</v>
      </c>
      <c r="K26" s="5" t="str">
        <f t="shared" si="3"/>
        <v>Amazon</v>
      </c>
      <c r="L26" s="10">
        <f t="shared" si="4"/>
        <v>185</v>
      </c>
      <c r="M26" s="10">
        <f t="shared" si="5"/>
        <v>364</v>
      </c>
      <c r="N26" s="11" t="s">
        <v>39</v>
      </c>
    </row>
    <row r="27" spans="1:14" x14ac:dyDescent="0.3">
      <c r="A27" s="4">
        <v>23</v>
      </c>
      <c r="B27" s="6" t="s">
        <v>40</v>
      </c>
      <c r="C27" s="5" t="s">
        <v>15</v>
      </c>
      <c r="D27" s="12" t="s">
        <v>18</v>
      </c>
      <c r="E27" s="7">
        <v>179</v>
      </c>
      <c r="F27" s="7">
        <v>195</v>
      </c>
      <c r="G27" s="13"/>
      <c r="H27" s="8">
        <f t="shared" si="0"/>
        <v>195</v>
      </c>
      <c r="I27" s="9" t="str">
        <f t="shared" si="1"/>
        <v>Flipkart</v>
      </c>
      <c r="J27" s="10">
        <f t="shared" si="2"/>
        <v>179</v>
      </c>
      <c r="K27" s="5" t="str">
        <f t="shared" si="3"/>
        <v>Amazon</v>
      </c>
      <c r="L27" s="10">
        <f t="shared" si="4"/>
        <v>16</v>
      </c>
      <c r="M27" s="10">
        <f t="shared" si="5"/>
        <v>187</v>
      </c>
      <c r="N27" s="11"/>
    </row>
    <row r="28" spans="1:14" ht="34.200000000000003" x14ac:dyDescent="0.3">
      <c r="A28" s="4">
        <v>24</v>
      </c>
      <c r="B28" s="6" t="s">
        <v>41</v>
      </c>
      <c r="C28" s="5" t="s">
        <v>15</v>
      </c>
      <c r="D28" s="12" t="s">
        <v>18</v>
      </c>
      <c r="E28" s="7">
        <v>209</v>
      </c>
      <c r="F28" s="14">
        <v>204</v>
      </c>
      <c r="G28" s="13"/>
      <c r="H28" s="8">
        <f t="shared" si="0"/>
        <v>209</v>
      </c>
      <c r="I28" s="9" t="str">
        <f t="shared" si="1"/>
        <v>Amazon</v>
      </c>
      <c r="J28" s="10">
        <f t="shared" si="2"/>
        <v>204</v>
      </c>
      <c r="K28" s="5" t="str">
        <f t="shared" si="3"/>
        <v>Flipkart</v>
      </c>
      <c r="L28" s="10">
        <f t="shared" si="4"/>
        <v>5</v>
      </c>
      <c r="M28" s="10">
        <f t="shared" si="5"/>
        <v>206.5</v>
      </c>
      <c r="N28" s="11" t="s">
        <v>42</v>
      </c>
    </row>
    <row r="29" spans="1:14" x14ac:dyDescent="0.3">
      <c r="A29" s="4">
        <v>25</v>
      </c>
      <c r="B29" s="6" t="s">
        <v>43</v>
      </c>
      <c r="C29" s="5" t="s">
        <v>15</v>
      </c>
      <c r="D29" s="12" t="s">
        <v>18</v>
      </c>
      <c r="E29" s="7">
        <v>180</v>
      </c>
      <c r="F29" s="7">
        <v>214</v>
      </c>
      <c r="G29" s="13"/>
      <c r="H29" s="8">
        <f t="shared" si="0"/>
        <v>214</v>
      </c>
      <c r="I29" s="9" t="str">
        <f t="shared" si="1"/>
        <v>Flipkart</v>
      </c>
      <c r="J29" s="10">
        <f t="shared" si="2"/>
        <v>180</v>
      </c>
      <c r="K29" s="5" t="str">
        <f t="shared" si="3"/>
        <v>Amazon</v>
      </c>
      <c r="L29" s="10">
        <f t="shared" si="4"/>
        <v>34</v>
      </c>
      <c r="M29" s="10">
        <f t="shared" si="5"/>
        <v>197</v>
      </c>
      <c r="N29" s="11"/>
    </row>
    <row r="30" spans="1:14" x14ac:dyDescent="0.3">
      <c r="A30" s="4">
        <v>26</v>
      </c>
      <c r="B30" s="6" t="s">
        <v>44</v>
      </c>
      <c r="C30" s="5" t="s">
        <v>15</v>
      </c>
      <c r="D30" s="12" t="s">
        <v>18</v>
      </c>
      <c r="E30" s="7">
        <v>159</v>
      </c>
      <c r="F30" s="7">
        <v>205</v>
      </c>
      <c r="G30" s="13"/>
      <c r="H30" s="8">
        <f t="shared" si="0"/>
        <v>205</v>
      </c>
      <c r="I30" s="9" t="str">
        <f t="shared" si="1"/>
        <v>Flipkart</v>
      </c>
      <c r="J30" s="10">
        <f t="shared" si="2"/>
        <v>159</v>
      </c>
      <c r="K30" s="5" t="str">
        <f t="shared" si="3"/>
        <v>Amazon</v>
      </c>
      <c r="L30" s="10">
        <f t="shared" si="4"/>
        <v>46</v>
      </c>
      <c r="M30" s="10">
        <f t="shared" si="5"/>
        <v>182</v>
      </c>
      <c r="N30" s="11"/>
    </row>
    <row r="31" spans="1:14" x14ac:dyDescent="0.3">
      <c r="A31" s="4">
        <v>27</v>
      </c>
      <c r="B31" s="6" t="s">
        <v>45</v>
      </c>
      <c r="C31" s="5" t="s">
        <v>15</v>
      </c>
      <c r="D31" s="12" t="s">
        <v>18</v>
      </c>
      <c r="E31" s="14">
        <v>13.5</v>
      </c>
      <c r="F31" s="14">
        <v>14.2</v>
      </c>
      <c r="G31" s="14">
        <v>5.4</v>
      </c>
      <c r="H31" s="8">
        <f t="shared" si="0"/>
        <v>14.2</v>
      </c>
      <c r="I31" s="9" t="str">
        <f t="shared" si="1"/>
        <v>Flipkart</v>
      </c>
      <c r="J31" s="10">
        <f t="shared" si="2"/>
        <v>5.4</v>
      </c>
      <c r="K31" s="5" t="str">
        <f t="shared" si="3"/>
        <v>BigBasket</v>
      </c>
      <c r="L31" s="10">
        <f t="shared" si="4"/>
        <v>8.7999999999999989</v>
      </c>
      <c r="M31" s="10">
        <f t="shared" si="5"/>
        <v>11.033333333333333</v>
      </c>
      <c r="N31" s="11" t="s">
        <v>46</v>
      </c>
    </row>
    <row r="32" spans="1:14" x14ac:dyDescent="0.3">
      <c r="A32" s="4">
        <v>28</v>
      </c>
      <c r="B32" s="6" t="s">
        <v>47</v>
      </c>
      <c r="C32" s="5" t="s">
        <v>48</v>
      </c>
      <c r="D32" s="12" t="s">
        <v>18</v>
      </c>
      <c r="E32" s="7">
        <v>397</v>
      </c>
      <c r="F32" s="7">
        <v>470</v>
      </c>
      <c r="G32" s="7">
        <v>391</v>
      </c>
      <c r="H32" s="8">
        <f t="shared" si="0"/>
        <v>470</v>
      </c>
      <c r="I32" s="9" t="str">
        <f t="shared" si="1"/>
        <v>Flipkart</v>
      </c>
      <c r="J32" s="10">
        <f t="shared" si="2"/>
        <v>391</v>
      </c>
      <c r="K32" s="5" t="str">
        <f t="shared" si="3"/>
        <v>BigBasket</v>
      </c>
      <c r="L32" s="10">
        <f t="shared" si="4"/>
        <v>79</v>
      </c>
      <c r="M32" s="10">
        <f t="shared" si="5"/>
        <v>419.33333333333331</v>
      </c>
      <c r="N32" s="11" t="s">
        <v>49</v>
      </c>
    </row>
    <row r="33" spans="1:14" ht="22.8" x14ac:dyDescent="0.3">
      <c r="A33" s="4">
        <v>29</v>
      </c>
      <c r="B33" s="6" t="s">
        <v>47</v>
      </c>
      <c r="C33" s="5" t="s">
        <v>50</v>
      </c>
      <c r="D33" s="12" t="s">
        <v>18</v>
      </c>
      <c r="E33" s="14">
        <v>3970</v>
      </c>
      <c r="F33" s="14">
        <v>4700</v>
      </c>
      <c r="G33" s="14">
        <v>4042.6</v>
      </c>
      <c r="H33" s="8">
        <f t="shared" si="0"/>
        <v>4700</v>
      </c>
      <c r="I33" s="9" t="str">
        <f t="shared" si="1"/>
        <v>Flipkart</v>
      </c>
      <c r="J33" s="10">
        <f t="shared" si="2"/>
        <v>3970</v>
      </c>
      <c r="K33" s="5" t="str">
        <f t="shared" si="3"/>
        <v>Amazon</v>
      </c>
      <c r="L33" s="10">
        <f t="shared" si="4"/>
        <v>730</v>
      </c>
      <c r="M33" s="10">
        <f t="shared" si="5"/>
        <v>4237.5333333333338</v>
      </c>
      <c r="N33" s="11" t="s">
        <v>51</v>
      </c>
    </row>
    <row r="34" spans="1:14" ht="22.8" x14ac:dyDescent="0.3">
      <c r="A34" s="4">
        <v>30</v>
      </c>
      <c r="B34" s="6" t="s">
        <v>52</v>
      </c>
      <c r="C34" s="5" t="s">
        <v>48</v>
      </c>
      <c r="D34" s="12" t="s">
        <v>18</v>
      </c>
      <c r="E34" s="7">
        <v>1340</v>
      </c>
      <c r="F34" s="7">
        <v>1799</v>
      </c>
      <c r="G34" s="13"/>
      <c r="H34" s="8">
        <f t="shared" si="0"/>
        <v>1799</v>
      </c>
      <c r="I34" s="9" t="str">
        <f t="shared" si="1"/>
        <v>Flipkart</v>
      </c>
      <c r="J34" s="10">
        <f t="shared" si="2"/>
        <v>1340</v>
      </c>
      <c r="K34" s="5" t="str">
        <f t="shared" si="3"/>
        <v>Amazon</v>
      </c>
      <c r="L34" s="10">
        <f t="shared" si="4"/>
        <v>459</v>
      </c>
      <c r="M34" s="10">
        <f t="shared" si="5"/>
        <v>1569.5</v>
      </c>
      <c r="N34" s="11" t="s">
        <v>53</v>
      </c>
    </row>
    <row r="35" spans="1:14" x14ac:dyDescent="0.3">
      <c r="A35" s="4">
        <v>31</v>
      </c>
      <c r="B35" s="6" t="s">
        <v>52</v>
      </c>
      <c r="C35" s="5" t="s">
        <v>50</v>
      </c>
      <c r="D35" s="12" t="s">
        <v>18</v>
      </c>
      <c r="E35" s="14">
        <v>13400</v>
      </c>
      <c r="F35" s="14">
        <v>17990</v>
      </c>
      <c r="G35" s="13"/>
      <c r="H35" s="8">
        <f t="shared" si="0"/>
        <v>17990</v>
      </c>
      <c r="I35" s="9" t="str">
        <f t="shared" si="1"/>
        <v>Flipkart</v>
      </c>
      <c r="J35" s="10">
        <f t="shared" si="2"/>
        <v>13400</v>
      </c>
      <c r="K35" s="5" t="str">
        <f t="shared" si="3"/>
        <v>Amazon</v>
      </c>
      <c r="L35" s="10">
        <f t="shared" si="4"/>
        <v>4590</v>
      </c>
      <c r="M35" s="10">
        <f t="shared" si="5"/>
        <v>15695</v>
      </c>
      <c r="N35" s="11" t="s">
        <v>54</v>
      </c>
    </row>
    <row r="36" spans="1:14" ht="22.8" x14ac:dyDescent="0.3">
      <c r="A36" s="4">
        <v>32</v>
      </c>
      <c r="B36" s="6" t="s">
        <v>55</v>
      </c>
      <c r="C36" s="5" t="s">
        <v>48</v>
      </c>
      <c r="D36" s="12" t="s">
        <v>18</v>
      </c>
      <c r="E36" s="13"/>
      <c r="F36" s="13"/>
      <c r="G36" s="13"/>
      <c r="H36" s="8" t="str">
        <f t="shared" si="0"/>
        <v/>
      </c>
      <c r="I36" s="9" t="str">
        <f t="shared" si="1"/>
        <v/>
      </c>
      <c r="J36" s="10" t="str">
        <f t="shared" si="2"/>
        <v/>
      </c>
      <c r="K36" s="5" t="str">
        <f t="shared" si="3"/>
        <v/>
      </c>
      <c r="L36" s="10" t="str">
        <f t="shared" si="4"/>
        <v/>
      </c>
      <c r="M36" s="10" t="str">
        <f t="shared" si="5"/>
        <v/>
      </c>
      <c r="N36" s="11" t="s">
        <v>56</v>
      </c>
    </row>
    <row r="37" spans="1:14" x14ac:dyDescent="0.3">
      <c r="A37" s="4">
        <v>33</v>
      </c>
      <c r="B37" s="6" t="s">
        <v>55</v>
      </c>
      <c r="C37" s="5" t="s">
        <v>50</v>
      </c>
      <c r="D37" s="12" t="s">
        <v>18</v>
      </c>
      <c r="E37" s="13"/>
      <c r="F37" s="13"/>
      <c r="G37" s="13"/>
      <c r="H37" s="8" t="str">
        <f t="shared" si="0"/>
        <v/>
      </c>
      <c r="I37" s="9" t="str">
        <f t="shared" si="1"/>
        <v/>
      </c>
      <c r="J37" s="10" t="str">
        <f t="shared" si="2"/>
        <v/>
      </c>
      <c r="K37" s="5" t="str">
        <f t="shared" si="3"/>
        <v/>
      </c>
      <c r="L37" s="10" t="str">
        <f t="shared" si="4"/>
        <v/>
      </c>
      <c r="M37" s="10" t="str">
        <f t="shared" si="5"/>
        <v/>
      </c>
      <c r="N37" s="11" t="s">
        <v>57</v>
      </c>
    </row>
    <row r="38" spans="1:14" ht="22.8" x14ac:dyDescent="0.3">
      <c r="A38" s="4">
        <v>34</v>
      </c>
      <c r="B38" s="6" t="s">
        <v>58</v>
      </c>
      <c r="C38" s="5" t="s">
        <v>48</v>
      </c>
      <c r="D38" s="12" t="s">
        <v>18</v>
      </c>
      <c r="E38" s="7">
        <v>895</v>
      </c>
      <c r="F38" s="14">
        <v>390</v>
      </c>
      <c r="G38" s="7">
        <v>382.5</v>
      </c>
      <c r="H38" s="8">
        <f t="shared" si="0"/>
        <v>895</v>
      </c>
      <c r="I38" s="9" t="str">
        <f t="shared" si="1"/>
        <v>Amazon</v>
      </c>
      <c r="J38" s="10">
        <f t="shared" si="2"/>
        <v>382.5</v>
      </c>
      <c r="K38" s="5" t="str">
        <f t="shared" si="3"/>
        <v>BigBasket</v>
      </c>
      <c r="L38" s="10">
        <f t="shared" si="4"/>
        <v>512.5</v>
      </c>
      <c r="M38" s="10">
        <f t="shared" si="5"/>
        <v>555.83333333333337</v>
      </c>
      <c r="N38" s="11" t="s">
        <v>59</v>
      </c>
    </row>
    <row r="39" spans="1:14" ht="22.8" x14ac:dyDescent="0.3">
      <c r="A39" s="4">
        <v>35</v>
      </c>
      <c r="B39" s="6" t="s">
        <v>58</v>
      </c>
      <c r="C39" s="5" t="s">
        <v>50</v>
      </c>
      <c r="D39" s="12" t="s">
        <v>18</v>
      </c>
      <c r="E39" s="14">
        <v>8950</v>
      </c>
      <c r="F39" s="14">
        <v>3900</v>
      </c>
      <c r="G39" s="14">
        <v>3735</v>
      </c>
      <c r="H39" s="8">
        <f t="shared" si="0"/>
        <v>8950</v>
      </c>
      <c r="I39" s="9" t="str">
        <f t="shared" si="1"/>
        <v>Amazon</v>
      </c>
      <c r="J39" s="10">
        <f t="shared" si="2"/>
        <v>3735</v>
      </c>
      <c r="K39" s="5" t="str">
        <f t="shared" si="3"/>
        <v>BigBasket</v>
      </c>
      <c r="L39" s="10">
        <f t="shared" si="4"/>
        <v>5215</v>
      </c>
      <c r="M39" s="10">
        <f t="shared" si="5"/>
        <v>5528.333333333333</v>
      </c>
      <c r="N39" s="11" t="s">
        <v>60</v>
      </c>
    </row>
    <row r="40" spans="1:14" x14ac:dyDescent="0.3">
      <c r="A40" s="4">
        <v>36</v>
      </c>
      <c r="B40" s="6" t="s">
        <v>61</v>
      </c>
      <c r="C40" s="5" t="s">
        <v>15</v>
      </c>
      <c r="D40" s="12" t="s">
        <v>18</v>
      </c>
      <c r="E40" s="14">
        <v>14</v>
      </c>
      <c r="F40" s="14">
        <v>35.6</v>
      </c>
      <c r="G40" s="14">
        <v>14</v>
      </c>
      <c r="H40" s="8">
        <f t="shared" si="0"/>
        <v>35.6</v>
      </c>
      <c r="I40" s="9" t="str">
        <f t="shared" si="1"/>
        <v>Flipkart</v>
      </c>
      <c r="J40" s="10">
        <f t="shared" si="2"/>
        <v>14</v>
      </c>
      <c r="K40" s="5" t="str">
        <f t="shared" si="3"/>
        <v>Amazon</v>
      </c>
      <c r="L40" s="10">
        <f t="shared" si="4"/>
        <v>21.6</v>
      </c>
      <c r="M40" s="10">
        <f t="shared" si="5"/>
        <v>21.2</v>
      </c>
      <c r="N40" s="11" t="s">
        <v>62</v>
      </c>
    </row>
    <row r="41" spans="1:14" x14ac:dyDescent="0.3">
      <c r="A41" s="4">
        <v>37</v>
      </c>
      <c r="B41" s="6" t="s">
        <v>63</v>
      </c>
      <c r="C41" s="5" t="s">
        <v>15</v>
      </c>
      <c r="D41" s="12" t="s">
        <v>18</v>
      </c>
      <c r="E41" s="14">
        <v>16.8</v>
      </c>
      <c r="F41" s="14">
        <v>23</v>
      </c>
      <c r="G41" s="14">
        <v>18</v>
      </c>
      <c r="H41" s="8">
        <f t="shared" si="0"/>
        <v>23</v>
      </c>
      <c r="I41" s="9" t="str">
        <f t="shared" si="1"/>
        <v>Flipkart</v>
      </c>
      <c r="J41" s="10">
        <f t="shared" si="2"/>
        <v>16.8</v>
      </c>
      <c r="K41" s="5" t="str">
        <f t="shared" si="3"/>
        <v>Amazon</v>
      </c>
      <c r="L41" s="10">
        <f t="shared" si="4"/>
        <v>6.1999999999999993</v>
      </c>
      <c r="M41" s="10">
        <f t="shared" si="5"/>
        <v>19.266666666666666</v>
      </c>
      <c r="N41" s="11" t="s">
        <v>64</v>
      </c>
    </row>
    <row r="42" spans="1:14" x14ac:dyDescent="0.3">
      <c r="A42" s="4">
        <v>38</v>
      </c>
      <c r="B42" s="6" t="s">
        <v>65</v>
      </c>
      <c r="C42" s="5" t="s">
        <v>15</v>
      </c>
      <c r="D42" s="12" t="s">
        <v>18</v>
      </c>
      <c r="E42" s="14">
        <v>15</v>
      </c>
      <c r="F42" s="14">
        <v>14.2</v>
      </c>
      <c r="G42" s="14">
        <v>12</v>
      </c>
      <c r="H42" s="8">
        <f t="shared" si="0"/>
        <v>15</v>
      </c>
      <c r="I42" s="9" t="str">
        <f t="shared" si="1"/>
        <v>Amazon</v>
      </c>
      <c r="J42" s="10">
        <f t="shared" si="2"/>
        <v>12</v>
      </c>
      <c r="K42" s="5" t="str">
        <f t="shared" si="3"/>
        <v>BigBasket</v>
      </c>
      <c r="L42" s="10">
        <f t="shared" si="4"/>
        <v>3</v>
      </c>
      <c r="M42" s="10">
        <f t="shared" si="5"/>
        <v>13.733333333333334</v>
      </c>
      <c r="N42" s="11" t="s">
        <v>64</v>
      </c>
    </row>
    <row r="43" spans="1:14" x14ac:dyDescent="0.3">
      <c r="A43" s="4">
        <v>39</v>
      </c>
      <c r="B43" s="6" t="s">
        <v>66</v>
      </c>
      <c r="C43" s="5" t="s">
        <v>15</v>
      </c>
      <c r="D43" s="12" t="s">
        <v>18</v>
      </c>
      <c r="E43" s="14">
        <v>13.3</v>
      </c>
      <c r="F43" s="14">
        <v>14.7</v>
      </c>
      <c r="G43" s="14">
        <v>13.7</v>
      </c>
      <c r="H43" s="8">
        <f t="shared" si="0"/>
        <v>14.7</v>
      </c>
      <c r="I43" s="9" t="str">
        <f t="shared" si="1"/>
        <v>Flipkart</v>
      </c>
      <c r="J43" s="10">
        <f t="shared" si="2"/>
        <v>13.3</v>
      </c>
      <c r="K43" s="5" t="str">
        <f t="shared" si="3"/>
        <v>Amazon</v>
      </c>
      <c r="L43" s="10">
        <f t="shared" si="4"/>
        <v>1.3999999999999986</v>
      </c>
      <c r="M43" s="10">
        <f t="shared" si="5"/>
        <v>13.9</v>
      </c>
      <c r="N43" s="11" t="s">
        <v>64</v>
      </c>
    </row>
    <row r="44" spans="1:14" x14ac:dyDescent="0.3">
      <c r="A44" s="4">
        <v>40</v>
      </c>
      <c r="B44" s="6" t="s">
        <v>67</v>
      </c>
      <c r="C44" s="5" t="s">
        <v>15</v>
      </c>
      <c r="D44" s="12" t="s">
        <v>18</v>
      </c>
      <c r="E44" s="14">
        <v>18</v>
      </c>
      <c r="F44" s="14">
        <v>16</v>
      </c>
      <c r="G44" s="14">
        <v>15.93</v>
      </c>
      <c r="H44" s="8">
        <f t="shared" si="0"/>
        <v>18</v>
      </c>
      <c r="I44" s="9" t="str">
        <f t="shared" si="1"/>
        <v>Amazon</v>
      </c>
      <c r="J44" s="10">
        <f t="shared" si="2"/>
        <v>15.93</v>
      </c>
      <c r="K44" s="5" t="str">
        <f t="shared" si="3"/>
        <v>BigBasket</v>
      </c>
      <c r="L44" s="10">
        <f t="shared" si="4"/>
        <v>2.0700000000000003</v>
      </c>
      <c r="M44" s="10">
        <f t="shared" si="5"/>
        <v>16.643333333333334</v>
      </c>
      <c r="N44" s="11" t="s">
        <v>64</v>
      </c>
    </row>
    <row r="45" spans="1:14" x14ac:dyDescent="0.3">
      <c r="A45" s="4">
        <v>41</v>
      </c>
      <c r="B45" s="6" t="s">
        <v>68</v>
      </c>
      <c r="C45" s="5" t="s">
        <v>15</v>
      </c>
      <c r="D45" s="12" t="s">
        <v>18</v>
      </c>
      <c r="E45" s="7">
        <v>198</v>
      </c>
      <c r="F45" s="7">
        <v>42</v>
      </c>
      <c r="G45" s="7">
        <v>50</v>
      </c>
      <c r="H45" s="8">
        <f t="shared" si="0"/>
        <v>198</v>
      </c>
      <c r="I45" s="9" t="str">
        <f t="shared" si="1"/>
        <v>Amazon</v>
      </c>
      <c r="J45" s="10">
        <f t="shared" si="2"/>
        <v>42</v>
      </c>
      <c r="K45" s="5" t="str">
        <f t="shared" si="3"/>
        <v>Flipkart</v>
      </c>
      <c r="L45" s="10">
        <f t="shared" si="4"/>
        <v>156</v>
      </c>
      <c r="M45" s="10">
        <f t="shared" si="5"/>
        <v>96.666666666666671</v>
      </c>
      <c r="N45" s="11" t="s">
        <v>69</v>
      </c>
    </row>
    <row r="46" spans="1:14" ht="22.8" x14ac:dyDescent="0.3">
      <c r="A46" s="4">
        <v>42</v>
      </c>
      <c r="B46" s="6" t="s">
        <v>70</v>
      </c>
      <c r="C46" s="5" t="s">
        <v>15</v>
      </c>
      <c r="D46" s="12" t="s">
        <v>18</v>
      </c>
      <c r="E46" s="14">
        <v>75.5</v>
      </c>
      <c r="F46" s="14">
        <v>66.67</v>
      </c>
      <c r="G46" s="13"/>
      <c r="H46" s="8">
        <f t="shared" si="0"/>
        <v>75.5</v>
      </c>
      <c r="I46" s="9" t="str">
        <f t="shared" si="1"/>
        <v>Amazon</v>
      </c>
      <c r="J46" s="10">
        <f t="shared" si="2"/>
        <v>66.67</v>
      </c>
      <c r="K46" s="5" t="str">
        <f t="shared" si="3"/>
        <v>Flipkart</v>
      </c>
      <c r="L46" s="10">
        <f t="shared" si="4"/>
        <v>8.8299999999999983</v>
      </c>
      <c r="M46" s="10">
        <f t="shared" si="5"/>
        <v>71.085000000000008</v>
      </c>
      <c r="N46" s="11" t="s">
        <v>71</v>
      </c>
    </row>
    <row r="47" spans="1:14" ht="22.8" x14ac:dyDescent="0.3">
      <c r="A47" s="4">
        <v>43</v>
      </c>
      <c r="B47" s="6" t="s">
        <v>72</v>
      </c>
      <c r="C47" s="5" t="s">
        <v>15</v>
      </c>
      <c r="D47" s="12" t="s">
        <v>18</v>
      </c>
      <c r="E47" s="14">
        <v>29.4</v>
      </c>
      <c r="F47" s="14">
        <v>49.9</v>
      </c>
      <c r="G47" s="13"/>
      <c r="H47" s="8">
        <f t="shared" si="0"/>
        <v>49.9</v>
      </c>
      <c r="I47" s="9" t="str">
        <f t="shared" si="1"/>
        <v>Flipkart</v>
      </c>
      <c r="J47" s="10">
        <f t="shared" si="2"/>
        <v>29.4</v>
      </c>
      <c r="K47" s="5" t="str">
        <f t="shared" si="3"/>
        <v>Amazon</v>
      </c>
      <c r="L47" s="10">
        <f t="shared" si="4"/>
        <v>20.5</v>
      </c>
      <c r="M47" s="10">
        <f t="shared" si="5"/>
        <v>39.65</v>
      </c>
      <c r="N47" s="11" t="s">
        <v>73</v>
      </c>
    </row>
    <row r="48" spans="1:14" x14ac:dyDescent="0.3">
      <c r="A48" s="4">
        <v>44</v>
      </c>
      <c r="B48" s="6" t="s">
        <v>74</v>
      </c>
      <c r="C48" s="5" t="s">
        <v>15</v>
      </c>
      <c r="D48" s="12" t="s">
        <v>18</v>
      </c>
      <c r="E48" s="14">
        <v>45.6</v>
      </c>
      <c r="F48" s="7">
        <v>120</v>
      </c>
      <c r="G48" s="13"/>
      <c r="H48" s="8">
        <f t="shared" si="0"/>
        <v>120</v>
      </c>
      <c r="I48" s="9" t="str">
        <f t="shared" si="1"/>
        <v>Flipkart</v>
      </c>
      <c r="J48" s="10">
        <f t="shared" si="2"/>
        <v>45.6</v>
      </c>
      <c r="K48" s="5" t="str">
        <f t="shared" si="3"/>
        <v>Amazon</v>
      </c>
      <c r="L48" s="10">
        <f t="shared" si="4"/>
        <v>74.400000000000006</v>
      </c>
      <c r="M48" s="10">
        <f t="shared" si="5"/>
        <v>82.8</v>
      </c>
      <c r="N48" s="11"/>
    </row>
    <row r="49" spans="1:14" x14ac:dyDescent="0.3">
      <c r="A49" s="4">
        <v>45</v>
      </c>
      <c r="B49" s="6" t="s">
        <v>75</v>
      </c>
      <c r="C49" s="5" t="s">
        <v>15</v>
      </c>
      <c r="D49" s="12" t="s">
        <v>18</v>
      </c>
      <c r="E49" s="14">
        <v>27.78</v>
      </c>
      <c r="F49" s="14">
        <v>9.4</v>
      </c>
      <c r="G49" s="13"/>
      <c r="H49" s="8">
        <f t="shared" si="0"/>
        <v>27.78</v>
      </c>
      <c r="I49" s="9" t="str">
        <f t="shared" si="1"/>
        <v>Amazon</v>
      </c>
      <c r="J49" s="10">
        <f t="shared" si="2"/>
        <v>9.4</v>
      </c>
      <c r="K49" s="5" t="str">
        <f t="shared" si="3"/>
        <v>Flipkart</v>
      </c>
      <c r="L49" s="10">
        <f t="shared" si="4"/>
        <v>18.380000000000003</v>
      </c>
      <c r="M49" s="10">
        <f t="shared" si="5"/>
        <v>18.59</v>
      </c>
      <c r="N49" s="11"/>
    </row>
    <row r="51" spans="1:14" x14ac:dyDescent="0.3">
      <c r="A51" s="2" t="s">
        <v>76</v>
      </c>
    </row>
  </sheetData>
  <autoFilter ref="A4:N49" xr:uid="{00000000-0009-0000-0000-000000000000}"/>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5"/>
  <sheetViews>
    <sheetView workbookViewId="0"/>
  </sheetViews>
  <sheetFormatPr defaultRowHeight="14.4" x14ac:dyDescent="0.3"/>
  <cols>
    <col min="1" max="1" width="16" customWidth="1"/>
    <col min="2" max="2" width="14" customWidth="1"/>
    <col min="3" max="4" width="13" customWidth="1"/>
    <col min="5" max="5" width="14" customWidth="1"/>
    <col min="6" max="7" width="20" customWidth="1"/>
  </cols>
  <sheetData>
    <row r="1" spans="1:7" ht="17.399999999999999" x14ac:dyDescent="0.3">
      <c r="A1" s="1" t="s">
        <v>77</v>
      </c>
    </row>
    <row r="2" spans="1:7" x14ac:dyDescent="0.3">
      <c r="A2" s="2" t="s">
        <v>78</v>
      </c>
    </row>
    <row r="4" spans="1:7" ht="31.95" customHeight="1" x14ac:dyDescent="0.3">
      <c r="A4" s="3" t="s">
        <v>79</v>
      </c>
      <c r="B4" s="3" t="s">
        <v>80</v>
      </c>
      <c r="C4" s="3" t="s">
        <v>81</v>
      </c>
      <c r="D4" s="3" t="s">
        <v>82</v>
      </c>
      <c r="E4" s="3" t="s">
        <v>83</v>
      </c>
      <c r="F4" s="3" t="s">
        <v>84</v>
      </c>
      <c r="G4" s="3" t="s">
        <v>85</v>
      </c>
    </row>
    <row r="5" spans="1:7" x14ac:dyDescent="0.3">
      <c r="A5" s="15" t="s">
        <v>4</v>
      </c>
      <c r="B5" s="16">
        <f>COUNT('Price Comparison'!$E$5:$E$49)</f>
        <v>43</v>
      </c>
      <c r="C5" s="16">
        <f>COUNTIF('Price Comparison'!$I$5:$I$49,A5)</f>
        <v>18</v>
      </c>
      <c r="D5" s="16">
        <f>COUNTIF('Price Comparison'!$K$5:$K$49,A5)</f>
        <v>17</v>
      </c>
      <c r="E5" s="17">
        <f>IF(SUM($C$5:$C$7)=0,0,C5/SUM($C$5:$C$7))</f>
        <v>0.41860465116279072</v>
      </c>
      <c r="F5" s="18">
        <f>SUMPRODUCT(('Price Comparison'!$E$5:$E$49&lt;&gt;"")*('Price Comparison'!$F$5:$F$49&lt;&gt;"")*('Price Comparison'!$G$5:$G$49&lt;&gt;""),'Price Comparison'!$E$5:$E$49)</f>
        <v>17982.599999999999</v>
      </c>
      <c r="G5" s="19">
        <f>SUMPRODUCT(('Price Comparison'!$E$5:$E$49&lt;&gt;"")*('Price Comparison'!$F$5:$F$49&lt;&gt;"")*('Price Comparison'!$G$5:$G$49&lt;&gt;""))</f>
        <v>30</v>
      </c>
    </row>
    <row r="6" spans="1:7" x14ac:dyDescent="0.3">
      <c r="A6" s="15" t="s">
        <v>5</v>
      </c>
      <c r="B6" s="16">
        <f>COUNT('Price Comparison'!$F$5:$F$49)</f>
        <v>43</v>
      </c>
      <c r="C6" s="16">
        <f>COUNTIF('Price Comparison'!$I$5:$I$49,A6)</f>
        <v>20</v>
      </c>
      <c r="D6" s="16">
        <f>COUNTIF('Price Comparison'!$K$5:$K$49,A6)</f>
        <v>13</v>
      </c>
      <c r="E6" s="17">
        <f>IF(SUM($C$5:$C$7)=0,0,C6/SUM($C$5:$C$7))</f>
        <v>0.46511627906976744</v>
      </c>
      <c r="F6" s="18">
        <f>SUMPRODUCT(('Price Comparison'!$E$5:$E$49&lt;&gt;"")*('Price Comparison'!$F$5:$F$49&lt;&gt;"")*('Price Comparison'!$G$5:$G$49&lt;&gt;""),'Price Comparison'!$F$5:$F$49)</f>
        <v>12986.200000000003</v>
      </c>
      <c r="G6" s="19">
        <f>SUMPRODUCT(('Price Comparison'!$E$5:$E$49&lt;&gt;"")*('Price Comparison'!$F$5:$F$49&lt;&gt;"")*('Price Comparison'!$G$5:$G$49&lt;&gt;""))</f>
        <v>30</v>
      </c>
    </row>
    <row r="7" spans="1:7" x14ac:dyDescent="0.3">
      <c r="A7" s="15" t="s">
        <v>6</v>
      </c>
      <c r="B7" s="16">
        <f>COUNT('Price Comparison'!$G$5:$G$49)</f>
        <v>30</v>
      </c>
      <c r="C7" s="16">
        <f>COUNTIF('Price Comparison'!$I$5:$I$49,A7)</f>
        <v>5</v>
      </c>
      <c r="D7" s="16">
        <f>COUNTIF('Price Comparison'!$K$5:$K$49,A7)</f>
        <v>13</v>
      </c>
      <c r="E7" s="17">
        <f>IF(SUM($C$5:$C$7)=0,0,C7/SUM($C$5:$C$7))</f>
        <v>0.11627906976744186</v>
      </c>
      <c r="F7" s="18">
        <f>SUMPRODUCT(('Price Comparison'!$E$5:$E$49&lt;&gt;"")*('Price Comparison'!$F$5:$F$49&lt;&gt;"")*('Price Comparison'!$G$5:$G$49&lt;&gt;""),'Price Comparison'!$G$5:$G$49)</f>
        <v>12208.830000000002</v>
      </c>
      <c r="G7" s="19">
        <f>SUMPRODUCT(('Price Comparison'!$E$5:$E$49&lt;&gt;"")*('Price Comparison'!$F$5:$F$49&lt;&gt;"")*('Price Comparison'!$G$5:$G$49&lt;&gt;""))</f>
        <v>30</v>
      </c>
    </row>
    <row r="10" spans="1:7" x14ac:dyDescent="0.3">
      <c r="A10" s="20" t="s">
        <v>86</v>
      </c>
      <c r="D10" s="21" t="str">
        <f>INDEX($A$5:$A$7,MATCH(MAX($C$5:$C$7),$C$5:$C$7,0))</f>
        <v>Flipkart</v>
      </c>
    </row>
    <row r="11" spans="1:7" x14ac:dyDescent="0.3">
      <c r="A11" s="20" t="s">
        <v>87</v>
      </c>
      <c r="D11" s="21" t="str">
        <f>INDEX($A$5:$A$7,MATCH(MAX($F$5:$F$7),$F$5:$F$7,0))</f>
        <v>Amazon</v>
      </c>
    </row>
    <row r="12" spans="1:7" x14ac:dyDescent="0.3">
      <c r="A12" s="20" t="s">
        <v>88</v>
      </c>
      <c r="D12" s="21" t="str">
        <f>INDEX($A$5:$A$7,MATCH(MIN($F$5:$F$7),$F$5:$F$7,0))</f>
        <v>BigBasket</v>
      </c>
    </row>
    <row r="13" spans="1:7" x14ac:dyDescent="0.3">
      <c r="A13" s="20" t="s">
        <v>89</v>
      </c>
      <c r="D13" s="22">
        <f>MAX('Price Comparison'!$H$5:$H$49)</f>
        <v>17990</v>
      </c>
      <c r="E13" s="21" t="str">
        <f>INDEX('Price Comparison'!$B$5:$B$49,MATCH(D13,'Price Comparison'!$H$5:$H$49,0))&amp;" ("&amp;INDEX('Price Comparison'!$C$5:$C$49,MATCH(D13,'Price Comparison'!$H$5:$H$49,0))&amp;") on "&amp;INDEX('Price Comparison'!$I$5:$I$49,MATCH(D13,'Price Comparison'!$H$5:$H$49,0))</f>
        <v>Krishna Kamod Rice (50 kg) on Flipkart</v>
      </c>
    </row>
    <row r="15" spans="1:7" x14ac:dyDescent="0.3">
      <c r="A15" s="2" t="s">
        <v>90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36"/>
  <sheetViews>
    <sheetView workbookViewId="0">
      <pane ySplit="1" topLeftCell="A2" activePane="bottomLeft" state="frozen"/>
      <selection pane="bottomLeft"/>
    </sheetView>
  </sheetViews>
  <sheetFormatPr defaultRowHeight="14.4" x14ac:dyDescent="0.3"/>
  <cols>
    <col min="1" max="1" width="34" customWidth="1"/>
    <col min="2" max="2" width="10" customWidth="1"/>
    <col min="3" max="3" width="11" customWidth="1"/>
    <col min="4" max="4" width="12" customWidth="1"/>
    <col min="5" max="5" width="16" customWidth="1"/>
    <col min="6" max="6" width="50" customWidth="1"/>
    <col min="7" max="7" width="14" customWidth="1"/>
    <col min="8" max="8" width="12" customWidth="1"/>
    <col min="9" max="9" width="14" customWidth="1"/>
    <col min="10" max="10" width="45" customWidth="1"/>
    <col min="11" max="11" width="60" customWidth="1"/>
  </cols>
  <sheetData>
    <row r="1" spans="1:11" x14ac:dyDescent="0.3">
      <c r="A1" s="23" t="s">
        <v>1</v>
      </c>
      <c r="B1" s="23" t="s">
        <v>2</v>
      </c>
      <c r="C1" s="23" t="s">
        <v>79</v>
      </c>
      <c r="D1" s="23" t="s">
        <v>91</v>
      </c>
      <c r="E1" s="23" t="s">
        <v>92</v>
      </c>
      <c r="F1" s="23" t="s">
        <v>93</v>
      </c>
      <c r="G1" s="23" t="s">
        <v>94</v>
      </c>
      <c r="H1" s="23" t="s">
        <v>95</v>
      </c>
      <c r="I1" s="23" t="s">
        <v>96</v>
      </c>
      <c r="J1" s="23" t="s">
        <v>97</v>
      </c>
      <c r="K1" s="23" t="s">
        <v>98</v>
      </c>
    </row>
    <row r="2" spans="1:11" x14ac:dyDescent="0.3">
      <c r="A2" s="24" t="s">
        <v>14</v>
      </c>
      <c r="B2" s="24" t="s">
        <v>15</v>
      </c>
      <c r="C2" s="24" t="s">
        <v>4</v>
      </c>
      <c r="D2" s="24" t="s">
        <v>99</v>
      </c>
      <c r="E2" s="24" t="s">
        <v>100</v>
      </c>
      <c r="F2" s="24" t="s">
        <v>101</v>
      </c>
      <c r="G2" s="24" t="s">
        <v>15</v>
      </c>
      <c r="H2" s="25">
        <v>237</v>
      </c>
      <c r="I2" s="25">
        <v>237</v>
      </c>
      <c r="J2" s="26" t="s">
        <v>102</v>
      </c>
      <c r="K2" s="24" t="s">
        <v>103</v>
      </c>
    </row>
    <row r="3" spans="1:11" x14ac:dyDescent="0.3">
      <c r="A3" s="24" t="s">
        <v>14</v>
      </c>
      <c r="B3" s="24" t="s">
        <v>15</v>
      </c>
      <c r="C3" s="24" t="s">
        <v>5</v>
      </c>
      <c r="D3" s="24" t="s">
        <v>99</v>
      </c>
      <c r="E3" s="24" t="s">
        <v>100</v>
      </c>
      <c r="F3" s="24" t="s">
        <v>104</v>
      </c>
      <c r="G3" s="24" t="s">
        <v>15</v>
      </c>
      <c r="H3" s="25">
        <v>136</v>
      </c>
      <c r="I3" s="25">
        <v>136</v>
      </c>
      <c r="J3" s="26" t="s">
        <v>105</v>
      </c>
      <c r="K3" s="24" t="s">
        <v>106</v>
      </c>
    </row>
    <row r="4" spans="1:11" x14ac:dyDescent="0.3">
      <c r="A4" s="24" t="s">
        <v>14</v>
      </c>
      <c r="B4" s="24" t="s">
        <v>15</v>
      </c>
      <c r="C4" s="24" t="s">
        <v>6</v>
      </c>
      <c r="D4" s="24" t="s">
        <v>99</v>
      </c>
      <c r="E4" s="24" t="s">
        <v>100</v>
      </c>
      <c r="F4" s="24" t="s">
        <v>107</v>
      </c>
      <c r="G4" s="24" t="s">
        <v>15</v>
      </c>
      <c r="H4" s="25">
        <v>219.6</v>
      </c>
      <c r="I4" s="25">
        <v>219.6</v>
      </c>
      <c r="J4" s="26" t="s">
        <v>108</v>
      </c>
      <c r="K4" s="24" t="s">
        <v>109</v>
      </c>
    </row>
    <row r="5" spans="1:11" x14ac:dyDescent="0.3">
      <c r="A5" s="24" t="s">
        <v>17</v>
      </c>
      <c r="B5" s="24" t="s">
        <v>15</v>
      </c>
      <c r="C5" s="24" t="s">
        <v>4</v>
      </c>
      <c r="D5" s="24" t="s">
        <v>99</v>
      </c>
      <c r="E5" s="24" t="s">
        <v>100</v>
      </c>
      <c r="F5" s="24" t="s">
        <v>110</v>
      </c>
      <c r="G5" s="24" t="s">
        <v>15</v>
      </c>
      <c r="H5" s="25">
        <v>189</v>
      </c>
      <c r="I5" s="25">
        <v>189</v>
      </c>
      <c r="J5" s="26" t="s">
        <v>111</v>
      </c>
      <c r="K5" s="24" t="s">
        <v>112</v>
      </c>
    </row>
    <row r="6" spans="1:11" x14ac:dyDescent="0.3">
      <c r="A6" s="24" t="s">
        <v>17</v>
      </c>
      <c r="B6" s="24" t="s">
        <v>15</v>
      </c>
      <c r="C6" s="24" t="s">
        <v>5</v>
      </c>
      <c r="D6" s="24" t="s">
        <v>99</v>
      </c>
      <c r="E6" s="24" t="s">
        <v>100</v>
      </c>
      <c r="F6" s="24" t="s">
        <v>113</v>
      </c>
      <c r="G6" s="24" t="s">
        <v>15</v>
      </c>
      <c r="H6" s="25">
        <v>124</v>
      </c>
      <c r="I6" s="25">
        <v>124</v>
      </c>
      <c r="J6" s="26" t="s">
        <v>114</v>
      </c>
      <c r="K6" s="24" t="s">
        <v>115</v>
      </c>
    </row>
    <row r="7" spans="1:11" x14ac:dyDescent="0.3">
      <c r="A7" s="24" t="s">
        <v>17</v>
      </c>
      <c r="B7" s="24" t="s">
        <v>15</v>
      </c>
      <c r="C7" s="24" t="s">
        <v>6</v>
      </c>
      <c r="D7" s="24" t="s">
        <v>99</v>
      </c>
      <c r="E7" s="24" t="s">
        <v>100</v>
      </c>
      <c r="F7" s="24" t="s">
        <v>116</v>
      </c>
      <c r="G7" s="24" t="s">
        <v>15</v>
      </c>
      <c r="H7" s="25">
        <v>175</v>
      </c>
      <c r="I7" s="25">
        <v>175</v>
      </c>
      <c r="J7" s="26" t="s">
        <v>117</v>
      </c>
      <c r="K7" s="24" t="s">
        <v>118</v>
      </c>
    </row>
    <row r="8" spans="1:11" x14ac:dyDescent="0.3">
      <c r="A8" s="24" t="s">
        <v>19</v>
      </c>
      <c r="B8" s="24" t="s">
        <v>15</v>
      </c>
      <c r="C8" s="24" t="s">
        <v>4</v>
      </c>
      <c r="D8" s="24" t="s">
        <v>99</v>
      </c>
      <c r="E8" s="24" t="s">
        <v>100</v>
      </c>
      <c r="F8" s="24" t="s">
        <v>119</v>
      </c>
      <c r="G8" s="24" t="s">
        <v>15</v>
      </c>
      <c r="H8" s="25">
        <v>204</v>
      </c>
      <c r="I8" s="25">
        <v>204</v>
      </c>
      <c r="J8" s="26" t="s">
        <v>120</v>
      </c>
      <c r="K8" s="24" t="s">
        <v>121</v>
      </c>
    </row>
    <row r="9" spans="1:11" x14ac:dyDescent="0.3">
      <c r="A9" s="24" t="s">
        <v>19</v>
      </c>
      <c r="B9" s="24" t="s">
        <v>15</v>
      </c>
      <c r="C9" s="24" t="s">
        <v>5</v>
      </c>
      <c r="D9" s="24" t="s">
        <v>99</v>
      </c>
      <c r="E9" s="24" t="s">
        <v>100</v>
      </c>
      <c r="F9" s="24" t="s">
        <v>122</v>
      </c>
      <c r="G9" s="24" t="s">
        <v>15</v>
      </c>
      <c r="H9" s="25">
        <v>67</v>
      </c>
      <c r="I9" s="25">
        <v>67</v>
      </c>
      <c r="J9" s="26" t="s">
        <v>123</v>
      </c>
      <c r="K9" s="24" t="s">
        <v>124</v>
      </c>
    </row>
    <row r="10" spans="1:11" x14ac:dyDescent="0.3">
      <c r="A10" s="24" t="s">
        <v>19</v>
      </c>
      <c r="B10" s="24" t="s">
        <v>15</v>
      </c>
      <c r="C10" s="24" t="s">
        <v>6</v>
      </c>
      <c r="D10" s="24" t="s">
        <v>99</v>
      </c>
      <c r="E10" s="24" t="s">
        <v>100</v>
      </c>
      <c r="F10" s="24" t="s">
        <v>125</v>
      </c>
      <c r="G10" s="24" t="s">
        <v>15</v>
      </c>
      <c r="H10" s="25">
        <v>54</v>
      </c>
      <c r="I10" s="25">
        <v>54</v>
      </c>
      <c r="J10" s="26" t="s">
        <v>126</v>
      </c>
      <c r="K10" s="24" t="s">
        <v>127</v>
      </c>
    </row>
    <row r="11" spans="1:11" x14ac:dyDescent="0.3">
      <c r="A11" s="24" t="s">
        <v>20</v>
      </c>
      <c r="B11" s="24" t="s">
        <v>15</v>
      </c>
      <c r="C11" s="24" t="s">
        <v>4</v>
      </c>
      <c r="D11" s="24" t="s">
        <v>99</v>
      </c>
      <c r="E11" s="24" t="s">
        <v>100</v>
      </c>
      <c r="F11" s="24" t="s">
        <v>128</v>
      </c>
      <c r="G11" s="24" t="s">
        <v>15</v>
      </c>
      <c r="H11" s="25">
        <v>199</v>
      </c>
      <c r="I11" s="25">
        <v>199</v>
      </c>
      <c r="J11" s="26" t="s">
        <v>129</v>
      </c>
      <c r="K11" s="24" t="s">
        <v>130</v>
      </c>
    </row>
    <row r="12" spans="1:11" x14ac:dyDescent="0.3">
      <c r="A12" s="24" t="s">
        <v>20</v>
      </c>
      <c r="B12" s="24" t="s">
        <v>15</v>
      </c>
      <c r="C12" s="24" t="s">
        <v>5</v>
      </c>
      <c r="D12" s="24" t="s">
        <v>99</v>
      </c>
      <c r="E12" s="24" t="s">
        <v>100</v>
      </c>
      <c r="F12" s="24" t="s">
        <v>131</v>
      </c>
      <c r="G12" s="24" t="s">
        <v>15</v>
      </c>
      <c r="H12" s="25">
        <v>120</v>
      </c>
      <c r="I12" s="25">
        <v>120</v>
      </c>
      <c r="J12" s="26" t="s">
        <v>132</v>
      </c>
      <c r="K12" s="24" t="s">
        <v>133</v>
      </c>
    </row>
    <row r="13" spans="1:11" x14ac:dyDescent="0.3">
      <c r="A13" s="24" t="s">
        <v>20</v>
      </c>
      <c r="B13" s="24" t="s">
        <v>15</v>
      </c>
      <c r="C13" s="24" t="s">
        <v>6</v>
      </c>
      <c r="D13" s="24" t="s">
        <v>134</v>
      </c>
      <c r="E13" s="24" t="s">
        <v>100</v>
      </c>
      <c r="F13" s="24" t="s">
        <v>135</v>
      </c>
      <c r="G13" s="24" t="s">
        <v>15</v>
      </c>
      <c r="H13" s="25">
        <v>200</v>
      </c>
      <c r="I13" s="25"/>
      <c r="J13" s="26" t="s">
        <v>136</v>
      </c>
      <c r="K13" s="24" t="s">
        <v>137</v>
      </c>
    </row>
    <row r="14" spans="1:11" x14ac:dyDescent="0.3">
      <c r="A14" s="24" t="s">
        <v>21</v>
      </c>
      <c r="B14" s="24" t="s">
        <v>15</v>
      </c>
      <c r="C14" s="24" t="s">
        <v>4</v>
      </c>
      <c r="D14" s="24" t="s">
        <v>99</v>
      </c>
      <c r="E14" s="24" t="s">
        <v>100</v>
      </c>
      <c r="F14" s="24" t="s">
        <v>138</v>
      </c>
      <c r="G14" s="24" t="s">
        <v>15</v>
      </c>
      <c r="H14" s="25">
        <v>170</v>
      </c>
      <c r="I14" s="25">
        <v>170</v>
      </c>
      <c r="J14" s="26" t="s">
        <v>139</v>
      </c>
      <c r="K14" s="24" t="s">
        <v>140</v>
      </c>
    </row>
    <row r="15" spans="1:11" x14ac:dyDescent="0.3">
      <c r="A15" s="24" t="s">
        <v>21</v>
      </c>
      <c r="B15" s="24" t="s">
        <v>15</v>
      </c>
      <c r="C15" s="24" t="s">
        <v>5</v>
      </c>
      <c r="D15" s="24" t="s">
        <v>99</v>
      </c>
      <c r="E15" s="24" t="s">
        <v>100</v>
      </c>
      <c r="F15" s="24" t="s">
        <v>141</v>
      </c>
      <c r="G15" s="24" t="s">
        <v>15</v>
      </c>
      <c r="H15" s="25">
        <v>189</v>
      </c>
      <c r="I15" s="25">
        <v>189</v>
      </c>
      <c r="J15" s="26" t="s">
        <v>142</v>
      </c>
      <c r="K15" s="24" t="s">
        <v>143</v>
      </c>
    </row>
    <row r="16" spans="1:11" x14ac:dyDescent="0.3">
      <c r="A16" s="24" t="s">
        <v>21</v>
      </c>
      <c r="B16" s="24" t="s">
        <v>15</v>
      </c>
      <c r="C16" s="24" t="s">
        <v>6</v>
      </c>
      <c r="D16" s="24" t="s">
        <v>144</v>
      </c>
      <c r="E16" s="24" t="s">
        <v>100</v>
      </c>
      <c r="F16" s="24" t="s">
        <v>145</v>
      </c>
      <c r="G16" s="24" t="s">
        <v>146</v>
      </c>
      <c r="H16" s="25">
        <v>175.77</v>
      </c>
      <c r="I16" s="25">
        <v>251.1</v>
      </c>
      <c r="J16" s="26" t="s">
        <v>147</v>
      </c>
      <c r="K16" s="24" t="s">
        <v>148</v>
      </c>
    </row>
    <row r="17" spans="1:11" x14ac:dyDescent="0.3">
      <c r="A17" s="24" t="s">
        <v>23</v>
      </c>
      <c r="B17" s="24" t="s">
        <v>15</v>
      </c>
      <c r="C17" s="24" t="s">
        <v>4</v>
      </c>
      <c r="D17" s="24" t="s">
        <v>99</v>
      </c>
      <c r="E17" s="24" t="s">
        <v>100</v>
      </c>
      <c r="F17" s="24" t="s">
        <v>149</v>
      </c>
      <c r="G17" s="24" t="s">
        <v>15</v>
      </c>
      <c r="H17" s="25">
        <v>289</v>
      </c>
      <c r="I17" s="25">
        <v>289</v>
      </c>
      <c r="J17" s="26" t="s">
        <v>150</v>
      </c>
      <c r="K17" s="24" t="s">
        <v>151</v>
      </c>
    </row>
    <row r="18" spans="1:11" x14ac:dyDescent="0.3">
      <c r="A18" s="24" t="s">
        <v>23</v>
      </c>
      <c r="B18" s="24" t="s">
        <v>15</v>
      </c>
      <c r="C18" s="24" t="s">
        <v>5</v>
      </c>
      <c r="D18" s="24" t="s">
        <v>99</v>
      </c>
      <c r="E18" s="24" t="s">
        <v>100</v>
      </c>
      <c r="F18" s="24" t="s">
        <v>152</v>
      </c>
      <c r="G18" s="24" t="s">
        <v>15</v>
      </c>
      <c r="H18" s="25">
        <v>417</v>
      </c>
      <c r="I18" s="25">
        <v>417</v>
      </c>
      <c r="J18" s="26" t="s">
        <v>153</v>
      </c>
      <c r="K18" s="24" t="s">
        <v>154</v>
      </c>
    </row>
    <row r="19" spans="1:11" x14ac:dyDescent="0.3">
      <c r="A19" s="24" t="s">
        <v>23</v>
      </c>
      <c r="B19" s="24" t="s">
        <v>15</v>
      </c>
      <c r="C19" s="24" t="s">
        <v>6</v>
      </c>
      <c r="D19" s="24" t="s">
        <v>99</v>
      </c>
      <c r="E19" s="24" t="s">
        <v>100</v>
      </c>
      <c r="F19" s="24" t="s">
        <v>155</v>
      </c>
      <c r="G19" s="24" t="s">
        <v>15</v>
      </c>
      <c r="H19" s="25">
        <v>350</v>
      </c>
      <c r="I19" s="25">
        <v>350</v>
      </c>
      <c r="J19" s="26" t="s">
        <v>156</v>
      </c>
      <c r="K19" s="24" t="s">
        <v>157</v>
      </c>
    </row>
    <row r="20" spans="1:11" x14ac:dyDescent="0.3">
      <c r="A20" s="24" t="s">
        <v>24</v>
      </c>
      <c r="B20" s="24" t="s">
        <v>15</v>
      </c>
      <c r="C20" s="24" t="s">
        <v>4</v>
      </c>
      <c r="D20" s="24" t="s">
        <v>99</v>
      </c>
      <c r="E20" s="24" t="s">
        <v>100</v>
      </c>
      <c r="F20" s="24" t="s">
        <v>158</v>
      </c>
      <c r="G20" s="24" t="s">
        <v>15</v>
      </c>
      <c r="H20" s="25">
        <v>149</v>
      </c>
      <c r="I20" s="25">
        <v>149</v>
      </c>
      <c r="J20" s="26" t="s">
        <v>159</v>
      </c>
      <c r="K20" s="24" t="s">
        <v>160</v>
      </c>
    </row>
    <row r="21" spans="1:11" x14ac:dyDescent="0.3">
      <c r="A21" s="24" t="s">
        <v>24</v>
      </c>
      <c r="B21" s="24" t="s">
        <v>15</v>
      </c>
      <c r="C21" s="24" t="s">
        <v>5</v>
      </c>
      <c r="D21" s="24" t="s">
        <v>99</v>
      </c>
      <c r="E21" s="24" t="s">
        <v>100</v>
      </c>
      <c r="F21" s="24" t="s">
        <v>161</v>
      </c>
      <c r="G21" s="24" t="s">
        <v>15</v>
      </c>
      <c r="H21" s="25">
        <v>147</v>
      </c>
      <c r="I21" s="25">
        <v>147</v>
      </c>
      <c r="J21" s="26" t="s">
        <v>162</v>
      </c>
      <c r="K21" s="24" t="s">
        <v>163</v>
      </c>
    </row>
    <row r="22" spans="1:11" x14ac:dyDescent="0.3">
      <c r="A22" s="24" t="s">
        <v>24</v>
      </c>
      <c r="B22" s="24" t="s">
        <v>15</v>
      </c>
      <c r="C22" s="24" t="s">
        <v>6</v>
      </c>
      <c r="D22" s="24" t="s">
        <v>99</v>
      </c>
      <c r="E22" s="24" t="s">
        <v>100</v>
      </c>
      <c r="F22" s="24" t="s">
        <v>164</v>
      </c>
      <c r="G22" s="24" t="s">
        <v>15</v>
      </c>
      <c r="H22" s="25">
        <v>269</v>
      </c>
      <c r="I22" s="25">
        <v>269</v>
      </c>
      <c r="J22" s="26" t="s">
        <v>165</v>
      </c>
      <c r="K22" s="24" t="s">
        <v>166</v>
      </c>
    </row>
    <row r="23" spans="1:11" x14ac:dyDescent="0.3">
      <c r="A23" s="24" t="s">
        <v>25</v>
      </c>
      <c r="B23" s="24" t="s">
        <v>15</v>
      </c>
      <c r="C23" s="24" t="s">
        <v>4</v>
      </c>
      <c r="D23" s="24" t="s">
        <v>99</v>
      </c>
      <c r="E23" s="24" t="s">
        <v>100</v>
      </c>
      <c r="F23" s="24" t="s">
        <v>167</v>
      </c>
      <c r="G23" s="24" t="s">
        <v>15</v>
      </c>
      <c r="H23" s="25">
        <v>239</v>
      </c>
      <c r="I23" s="25">
        <v>239</v>
      </c>
      <c r="J23" s="26" t="s">
        <v>168</v>
      </c>
      <c r="K23" s="24" t="s">
        <v>169</v>
      </c>
    </row>
    <row r="24" spans="1:11" x14ac:dyDescent="0.3">
      <c r="A24" s="24" t="s">
        <v>25</v>
      </c>
      <c r="B24" s="24" t="s">
        <v>15</v>
      </c>
      <c r="C24" s="24" t="s">
        <v>5</v>
      </c>
      <c r="D24" s="24" t="s">
        <v>99</v>
      </c>
      <c r="E24" s="24" t="s">
        <v>100</v>
      </c>
      <c r="F24" s="24" t="s">
        <v>170</v>
      </c>
      <c r="G24" s="24" t="s">
        <v>15</v>
      </c>
      <c r="H24" s="25">
        <v>140</v>
      </c>
      <c r="I24" s="25">
        <v>140</v>
      </c>
      <c r="J24" s="26" t="s">
        <v>171</v>
      </c>
      <c r="K24" s="24" t="s">
        <v>172</v>
      </c>
    </row>
    <row r="25" spans="1:11" x14ac:dyDescent="0.3">
      <c r="A25" s="24" t="s">
        <v>25</v>
      </c>
      <c r="B25" s="24" t="s">
        <v>15</v>
      </c>
      <c r="C25" s="24" t="s">
        <v>6</v>
      </c>
      <c r="D25" s="24" t="s">
        <v>99</v>
      </c>
      <c r="E25" s="24" t="s">
        <v>100</v>
      </c>
      <c r="F25" s="24" t="s">
        <v>173</v>
      </c>
      <c r="G25" s="24" t="s">
        <v>15</v>
      </c>
      <c r="H25" s="25">
        <v>249</v>
      </c>
      <c r="I25" s="25">
        <v>249</v>
      </c>
      <c r="J25" s="26" t="s">
        <v>174</v>
      </c>
      <c r="K25" s="24" t="s">
        <v>175</v>
      </c>
    </row>
    <row r="26" spans="1:11" x14ac:dyDescent="0.3">
      <c r="A26" s="24" t="s">
        <v>26</v>
      </c>
      <c r="B26" s="24" t="s">
        <v>15</v>
      </c>
      <c r="C26" s="24" t="s">
        <v>4</v>
      </c>
      <c r="D26" s="24" t="s">
        <v>99</v>
      </c>
      <c r="E26" s="24" t="s">
        <v>100</v>
      </c>
      <c r="F26" s="24" t="s">
        <v>176</v>
      </c>
      <c r="G26" s="24" t="s">
        <v>15</v>
      </c>
      <c r="H26" s="25">
        <v>180</v>
      </c>
      <c r="I26" s="25">
        <v>180</v>
      </c>
      <c r="J26" s="26" t="s">
        <v>177</v>
      </c>
      <c r="K26" s="24" t="s">
        <v>178</v>
      </c>
    </row>
    <row r="27" spans="1:11" x14ac:dyDescent="0.3">
      <c r="A27" s="24" t="s">
        <v>26</v>
      </c>
      <c r="B27" s="24" t="s">
        <v>15</v>
      </c>
      <c r="C27" s="24" t="s">
        <v>5</v>
      </c>
      <c r="D27" s="24" t="s">
        <v>99</v>
      </c>
      <c r="E27" s="24" t="s">
        <v>100</v>
      </c>
      <c r="F27" s="24" t="s">
        <v>179</v>
      </c>
      <c r="G27" s="24" t="s">
        <v>15</v>
      </c>
      <c r="H27" s="25">
        <v>179</v>
      </c>
      <c r="I27" s="25">
        <v>179</v>
      </c>
      <c r="J27" s="26" t="s">
        <v>180</v>
      </c>
      <c r="K27" s="24" t="s">
        <v>181</v>
      </c>
    </row>
    <row r="28" spans="1:11" x14ac:dyDescent="0.3">
      <c r="A28" s="24" t="s">
        <v>26</v>
      </c>
      <c r="B28" s="24" t="s">
        <v>15</v>
      </c>
      <c r="C28" s="24" t="s">
        <v>6</v>
      </c>
      <c r="D28" s="24" t="s">
        <v>99</v>
      </c>
      <c r="E28" s="24" t="s">
        <v>100</v>
      </c>
      <c r="F28" s="24" t="s">
        <v>182</v>
      </c>
      <c r="G28" s="24" t="s">
        <v>15</v>
      </c>
      <c r="H28" s="25">
        <v>55</v>
      </c>
      <c r="I28" s="25">
        <v>55</v>
      </c>
      <c r="J28" s="26" t="s">
        <v>183</v>
      </c>
      <c r="K28" s="24" t="s">
        <v>184</v>
      </c>
    </row>
    <row r="29" spans="1:11" x14ac:dyDescent="0.3">
      <c r="A29" s="24" t="s">
        <v>27</v>
      </c>
      <c r="B29" s="24" t="s">
        <v>15</v>
      </c>
      <c r="C29" s="24" t="s">
        <v>4</v>
      </c>
      <c r="D29" s="24" t="s">
        <v>99</v>
      </c>
      <c r="E29" s="24" t="s">
        <v>100</v>
      </c>
      <c r="F29" s="24" t="s">
        <v>185</v>
      </c>
      <c r="G29" s="24" t="s">
        <v>15</v>
      </c>
      <c r="H29" s="25">
        <v>122</v>
      </c>
      <c r="I29" s="25">
        <v>122</v>
      </c>
      <c r="J29" s="26" t="s">
        <v>186</v>
      </c>
      <c r="K29" s="24" t="s">
        <v>187</v>
      </c>
    </row>
    <row r="30" spans="1:11" x14ac:dyDescent="0.3">
      <c r="A30" s="24" t="s">
        <v>27</v>
      </c>
      <c r="B30" s="24" t="s">
        <v>15</v>
      </c>
      <c r="C30" s="24" t="s">
        <v>5</v>
      </c>
      <c r="D30" s="24" t="s">
        <v>99</v>
      </c>
      <c r="E30" s="24" t="s">
        <v>100</v>
      </c>
      <c r="F30" s="24" t="s">
        <v>188</v>
      </c>
      <c r="G30" s="24" t="s">
        <v>15</v>
      </c>
      <c r="H30" s="25">
        <v>134</v>
      </c>
      <c r="I30" s="25">
        <v>134</v>
      </c>
      <c r="J30" s="26" t="s">
        <v>189</v>
      </c>
      <c r="K30" s="24" t="s">
        <v>190</v>
      </c>
    </row>
    <row r="31" spans="1:11" x14ac:dyDescent="0.3">
      <c r="A31" s="24" t="s">
        <v>27</v>
      </c>
      <c r="B31" s="24" t="s">
        <v>15</v>
      </c>
      <c r="C31" s="24" t="s">
        <v>6</v>
      </c>
      <c r="D31" s="24" t="s">
        <v>99</v>
      </c>
      <c r="E31" s="24" t="s">
        <v>100</v>
      </c>
      <c r="F31" s="24" t="s">
        <v>191</v>
      </c>
      <c r="G31" s="24" t="s">
        <v>15</v>
      </c>
      <c r="H31" s="25">
        <v>95</v>
      </c>
      <c r="I31" s="25">
        <v>95</v>
      </c>
      <c r="J31" s="26" t="s">
        <v>192</v>
      </c>
      <c r="K31" s="24" t="s">
        <v>193</v>
      </c>
    </row>
    <row r="32" spans="1:11" x14ac:dyDescent="0.3">
      <c r="A32" s="24" t="s">
        <v>28</v>
      </c>
      <c r="B32" s="24" t="s">
        <v>15</v>
      </c>
      <c r="C32" s="24" t="s">
        <v>4</v>
      </c>
      <c r="D32" s="24" t="s">
        <v>144</v>
      </c>
      <c r="E32" s="24" t="s">
        <v>100</v>
      </c>
      <c r="F32" s="24" t="s">
        <v>194</v>
      </c>
      <c r="G32" s="24" t="s">
        <v>32</v>
      </c>
      <c r="H32" s="25">
        <v>341</v>
      </c>
      <c r="I32" s="25">
        <v>136.4</v>
      </c>
      <c r="J32" s="26" t="s">
        <v>195</v>
      </c>
      <c r="K32" s="24" t="s">
        <v>196</v>
      </c>
    </row>
    <row r="33" spans="1:11" x14ac:dyDescent="0.3">
      <c r="A33" s="24" t="s">
        <v>28</v>
      </c>
      <c r="B33" s="24" t="s">
        <v>15</v>
      </c>
      <c r="C33" s="24" t="s">
        <v>5</v>
      </c>
      <c r="D33" s="24" t="s">
        <v>99</v>
      </c>
      <c r="E33" s="24" t="s">
        <v>100</v>
      </c>
      <c r="F33" s="24" t="s">
        <v>197</v>
      </c>
      <c r="G33" s="24" t="s">
        <v>15</v>
      </c>
      <c r="H33" s="25">
        <v>145</v>
      </c>
      <c r="I33" s="25">
        <v>145</v>
      </c>
      <c r="J33" s="26" t="s">
        <v>198</v>
      </c>
      <c r="K33" s="24" t="s">
        <v>199</v>
      </c>
    </row>
    <row r="34" spans="1:11" x14ac:dyDescent="0.3">
      <c r="A34" s="24" t="s">
        <v>28</v>
      </c>
      <c r="B34" s="24" t="s">
        <v>15</v>
      </c>
      <c r="C34" s="24" t="s">
        <v>6</v>
      </c>
      <c r="D34" s="24" t="s">
        <v>134</v>
      </c>
      <c r="E34" s="24" t="s">
        <v>100</v>
      </c>
      <c r="F34" s="24" t="s">
        <v>200</v>
      </c>
      <c r="G34" s="24" t="s">
        <v>201</v>
      </c>
      <c r="H34" s="25">
        <v>195</v>
      </c>
      <c r="I34" s="25"/>
      <c r="J34" s="26" t="s">
        <v>202</v>
      </c>
      <c r="K34" s="24" t="s">
        <v>203</v>
      </c>
    </row>
    <row r="35" spans="1:11" x14ac:dyDescent="0.3">
      <c r="A35" s="24" t="s">
        <v>29</v>
      </c>
      <c r="B35" s="24" t="s">
        <v>15</v>
      </c>
      <c r="C35" s="24" t="s">
        <v>4</v>
      </c>
      <c r="D35" s="24" t="s">
        <v>99</v>
      </c>
      <c r="E35" s="24" t="s">
        <v>100</v>
      </c>
      <c r="F35" s="24" t="s">
        <v>204</v>
      </c>
      <c r="G35" s="24" t="s">
        <v>15</v>
      </c>
      <c r="H35" s="25">
        <v>137</v>
      </c>
      <c r="I35" s="25">
        <v>137</v>
      </c>
      <c r="J35" s="26" t="s">
        <v>205</v>
      </c>
      <c r="K35" s="24" t="s">
        <v>206</v>
      </c>
    </row>
    <row r="36" spans="1:11" x14ac:dyDescent="0.3">
      <c r="A36" s="24" t="s">
        <v>29</v>
      </c>
      <c r="B36" s="24" t="s">
        <v>15</v>
      </c>
      <c r="C36" s="24" t="s">
        <v>5</v>
      </c>
      <c r="D36" s="24" t="s">
        <v>99</v>
      </c>
      <c r="E36" s="24" t="s">
        <v>100</v>
      </c>
      <c r="F36" s="24" t="s">
        <v>207</v>
      </c>
      <c r="G36" s="24" t="s">
        <v>15</v>
      </c>
      <c r="H36" s="25">
        <v>170</v>
      </c>
      <c r="I36" s="25">
        <v>170</v>
      </c>
      <c r="J36" s="26" t="s">
        <v>208</v>
      </c>
      <c r="K36" s="24" t="s">
        <v>209</v>
      </c>
    </row>
    <row r="37" spans="1:11" x14ac:dyDescent="0.3">
      <c r="A37" s="24" t="s">
        <v>29</v>
      </c>
      <c r="B37" s="24" t="s">
        <v>15</v>
      </c>
      <c r="C37" s="24" t="s">
        <v>6</v>
      </c>
      <c r="D37" s="24" t="s">
        <v>134</v>
      </c>
      <c r="E37" s="24" t="s">
        <v>100</v>
      </c>
      <c r="F37" s="24" t="s">
        <v>210</v>
      </c>
      <c r="G37" s="24" t="s">
        <v>15</v>
      </c>
      <c r="H37" s="25">
        <v>119</v>
      </c>
      <c r="I37" s="25"/>
      <c r="J37" s="26" t="s">
        <v>211</v>
      </c>
      <c r="K37" s="24" t="s">
        <v>212</v>
      </c>
    </row>
    <row r="38" spans="1:11" x14ac:dyDescent="0.3">
      <c r="A38" s="24" t="s">
        <v>30</v>
      </c>
      <c r="B38" s="24" t="s">
        <v>15</v>
      </c>
      <c r="C38" s="24" t="s">
        <v>4</v>
      </c>
      <c r="D38" s="24" t="s">
        <v>99</v>
      </c>
      <c r="E38" s="24" t="s">
        <v>100</v>
      </c>
      <c r="F38" s="24" t="s">
        <v>213</v>
      </c>
      <c r="G38" s="24" t="s">
        <v>15</v>
      </c>
      <c r="H38" s="25">
        <v>149</v>
      </c>
      <c r="I38" s="25">
        <v>149</v>
      </c>
      <c r="J38" s="26" t="s">
        <v>214</v>
      </c>
      <c r="K38" s="24" t="s">
        <v>215</v>
      </c>
    </row>
    <row r="39" spans="1:11" x14ac:dyDescent="0.3">
      <c r="A39" s="24" t="s">
        <v>30</v>
      </c>
      <c r="B39" s="24" t="s">
        <v>15</v>
      </c>
      <c r="C39" s="24" t="s">
        <v>5</v>
      </c>
      <c r="D39" s="24" t="s">
        <v>99</v>
      </c>
      <c r="E39" s="24" t="s">
        <v>100</v>
      </c>
      <c r="F39" s="24" t="s">
        <v>216</v>
      </c>
      <c r="G39" s="24" t="s">
        <v>15</v>
      </c>
      <c r="H39" s="25">
        <v>132</v>
      </c>
      <c r="I39" s="25">
        <v>132</v>
      </c>
      <c r="J39" s="26" t="s">
        <v>217</v>
      </c>
      <c r="K39" s="24" t="s">
        <v>218</v>
      </c>
    </row>
    <row r="40" spans="1:11" x14ac:dyDescent="0.3">
      <c r="A40" s="24" t="s">
        <v>30</v>
      </c>
      <c r="B40" s="24" t="s">
        <v>15</v>
      </c>
      <c r="C40" s="24" t="s">
        <v>6</v>
      </c>
      <c r="D40" s="24" t="s">
        <v>99</v>
      </c>
      <c r="E40" s="24" t="s">
        <v>100</v>
      </c>
      <c r="F40" s="24" t="s">
        <v>219</v>
      </c>
      <c r="G40" s="24" t="s">
        <v>15</v>
      </c>
      <c r="H40" s="25">
        <v>249</v>
      </c>
      <c r="I40" s="25">
        <v>249</v>
      </c>
      <c r="J40" s="26" t="s">
        <v>220</v>
      </c>
      <c r="K40" s="24" t="s">
        <v>221</v>
      </c>
    </row>
    <row r="41" spans="1:11" x14ac:dyDescent="0.3">
      <c r="A41" s="24" t="s">
        <v>31</v>
      </c>
      <c r="B41" s="24" t="s">
        <v>15</v>
      </c>
      <c r="C41" s="24" t="s">
        <v>4</v>
      </c>
      <c r="D41" s="24" t="s">
        <v>99</v>
      </c>
      <c r="E41" s="24" t="s">
        <v>100</v>
      </c>
      <c r="F41" s="24" t="s">
        <v>222</v>
      </c>
      <c r="G41" s="24" t="s">
        <v>15</v>
      </c>
      <c r="H41" s="25">
        <v>66</v>
      </c>
      <c r="I41" s="25">
        <v>66</v>
      </c>
      <c r="J41" s="26" t="s">
        <v>223</v>
      </c>
      <c r="K41" s="24" t="s">
        <v>224</v>
      </c>
    </row>
    <row r="42" spans="1:11" x14ac:dyDescent="0.3">
      <c r="A42" s="24" t="s">
        <v>31</v>
      </c>
      <c r="B42" s="24" t="s">
        <v>15</v>
      </c>
      <c r="C42" s="24" t="s">
        <v>5</v>
      </c>
      <c r="D42" s="24" t="s">
        <v>99</v>
      </c>
      <c r="E42" s="24" t="s">
        <v>100</v>
      </c>
      <c r="F42" s="24" t="s">
        <v>225</v>
      </c>
      <c r="G42" s="24" t="s">
        <v>15</v>
      </c>
      <c r="H42" s="25">
        <v>140</v>
      </c>
      <c r="I42" s="25">
        <v>140</v>
      </c>
      <c r="J42" s="26" t="s">
        <v>226</v>
      </c>
      <c r="K42" s="24" t="s">
        <v>227</v>
      </c>
    </row>
    <row r="43" spans="1:11" x14ac:dyDescent="0.3">
      <c r="A43" s="24" t="s">
        <v>31</v>
      </c>
      <c r="B43" s="24" t="s">
        <v>15</v>
      </c>
      <c r="C43" s="24" t="s">
        <v>6</v>
      </c>
      <c r="D43" s="24" t="s">
        <v>99</v>
      </c>
      <c r="E43" s="24" t="s">
        <v>100</v>
      </c>
      <c r="F43" s="24" t="s">
        <v>228</v>
      </c>
      <c r="G43" s="24" t="s">
        <v>15</v>
      </c>
      <c r="H43" s="25">
        <v>54</v>
      </c>
      <c r="I43" s="25">
        <v>54</v>
      </c>
      <c r="J43" s="26" t="s">
        <v>229</v>
      </c>
      <c r="K43" s="24" t="s">
        <v>230</v>
      </c>
    </row>
    <row r="44" spans="1:11" x14ac:dyDescent="0.3">
      <c r="A44" s="24" t="s">
        <v>31</v>
      </c>
      <c r="B44" s="24" t="s">
        <v>32</v>
      </c>
      <c r="C44" s="24" t="s">
        <v>4</v>
      </c>
      <c r="D44" s="24" t="s">
        <v>144</v>
      </c>
      <c r="E44" s="24" t="s">
        <v>100</v>
      </c>
      <c r="F44" s="24" t="s">
        <v>231</v>
      </c>
      <c r="G44" s="24" t="s">
        <v>201</v>
      </c>
      <c r="H44" s="25">
        <v>112</v>
      </c>
      <c r="I44" s="25">
        <v>140</v>
      </c>
      <c r="J44" s="26" t="s">
        <v>232</v>
      </c>
      <c r="K44" s="24" t="s">
        <v>233</v>
      </c>
    </row>
    <row r="45" spans="1:11" x14ac:dyDescent="0.3">
      <c r="A45" s="24" t="s">
        <v>31</v>
      </c>
      <c r="B45" s="24" t="s">
        <v>32</v>
      </c>
      <c r="C45" s="24" t="s">
        <v>5</v>
      </c>
      <c r="D45" s="24" t="s">
        <v>144</v>
      </c>
      <c r="E45" s="24" t="s">
        <v>100</v>
      </c>
      <c r="F45" s="24" t="s">
        <v>234</v>
      </c>
      <c r="G45" s="24" t="s">
        <v>201</v>
      </c>
      <c r="H45" s="25">
        <v>95</v>
      </c>
      <c r="I45" s="25">
        <v>118.75</v>
      </c>
      <c r="J45" s="26" t="s">
        <v>235</v>
      </c>
      <c r="K45" s="24" t="s">
        <v>236</v>
      </c>
    </row>
    <row r="46" spans="1:11" x14ac:dyDescent="0.3">
      <c r="A46" s="24" t="s">
        <v>31</v>
      </c>
      <c r="B46" s="24" t="s">
        <v>32</v>
      </c>
      <c r="C46" s="24" t="s">
        <v>6</v>
      </c>
      <c r="D46" s="24" t="s">
        <v>144</v>
      </c>
      <c r="E46" s="24" t="s">
        <v>100</v>
      </c>
      <c r="F46" s="24" t="s">
        <v>237</v>
      </c>
      <c r="G46" s="24" t="s">
        <v>201</v>
      </c>
      <c r="H46" s="25">
        <v>108</v>
      </c>
      <c r="I46" s="25">
        <v>135</v>
      </c>
      <c r="J46" s="26" t="s">
        <v>238</v>
      </c>
      <c r="K46" s="24" t="s">
        <v>239</v>
      </c>
    </row>
    <row r="47" spans="1:11" x14ac:dyDescent="0.3">
      <c r="A47" s="24" t="s">
        <v>31</v>
      </c>
      <c r="B47" s="24" t="s">
        <v>34</v>
      </c>
      <c r="C47" s="24" t="s">
        <v>4</v>
      </c>
      <c r="D47" s="24" t="s">
        <v>99</v>
      </c>
      <c r="E47" s="24" t="s">
        <v>100</v>
      </c>
      <c r="F47" s="24" t="s">
        <v>240</v>
      </c>
      <c r="G47" s="24" t="s">
        <v>34</v>
      </c>
      <c r="H47" s="25">
        <v>287</v>
      </c>
      <c r="I47" s="25">
        <v>287</v>
      </c>
      <c r="J47" s="26" t="s">
        <v>241</v>
      </c>
      <c r="K47" s="24" t="s">
        <v>242</v>
      </c>
    </row>
    <row r="48" spans="1:11" x14ac:dyDescent="0.3">
      <c r="A48" s="24" t="s">
        <v>31</v>
      </c>
      <c r="B48" s="24" t="s">
        <v>34</v>
      </c>
      <c r="C48" s="24" t="s">
        <v>5</v>
      </c>
      <c r="D48" s="24" t="s">
        <v>99</v>
      </c>
      <c r="E48" s="24" t="s">
        <v>100</v>
      </c>
      <c r="F48" s="24" t="s">
        <v>243</v>
      </c>
      <c r="G48" s="24" t="s">
        <v>34</v>
      </c>
      <c r="H48" s="25">
        <v>245</v>
      </c>
      <c r="I48" s="25">
        <v>245</v>
      </c>
      <c r="J48" s="26" t="s">
        <v>244</v>
      </c>
      <c r="K48" s="24" t="s">
        <v>245</v>
      </c>
    </row>
    <row r="49" spans="1:11" x14ac:dyDescent="0.3">
      <c r="A49" s="24" t="s">
        <v>31</v>
      </c>
      <c r="B49" s="24" t="s">
        <v>34</v>
      </c>
      <c r="C49" s="24" t="s">
        <v>6</v>
      </c>
      <c r="D49" s="24" t="s">
        <v>99</v>
      </c>
      <c r="E49" s="24" t="s">
        <v>100</v>
      </c>
      <c r="F49" s="24" t="s">
        <v>246</v>
      </c>
      <c r="G49" s="24" t="s">
        <v>34</v>
      </c>
      <c r="H49" s="25">
        <v>260</v>
      </c>
      <c r="I49" s="25">
        <v>260</v>
      </c>
      <c r="J49" s="26" t="s">
        <v>247</v>
      </c>
      <c r="K49" s="24" t="s">
        <v>248</v>
      </c>
    </row>
    <row r="50" spans="1:11" x14ac:dyDescent="0.3">
      <c r="A50" s="24" t="s">
        <v>35</v>
      </c>
      <c r="B50" s="24" t="s">
        <v>15</v>
      </c>
      <c r="C50" s="24" t="s">
        <v>4</v>
      </c>
      <c r="D50" s="24" t="s">
        <v>144</v>
      </c>
      <c r="E50" s="24" t="s">
        <v>100</v>
      </c>
      <c r="F50" s="24" t="s">
        <v>249</v>
      </c>
      <c r="G50" s="24" t="s">
        <v>201</v>
      </c>
      <c r="H50" s="25">
        <v>96</v>
      </c>
      <c r="I50" s="25">
        <v>48</v>
      </c>
      <c r="J50" s="26" t="s">
        <v>250</v>
      </c>
      <c r="K50" s="24" t="s">
        <v>251</v>
      </c>
    </row>
    <row r="51" spans="1:11" x14ac:dyDescent="0.3">
      <c r="A51" s="24" t="s">
        <v>35</v>
      </c>
      <c r="B51" s="24" t="s">
        <v>15</v>
      </c>
      <c r="C51" s="24" t="s">
        <v>5</v>
      </c>
      <c r="D51" s="24" t="s">
        <v>99</v>
      </c>
      <c r="E51" s="24" t="s">
        <v>100</v>
      </c>
      <c r="F51" s="24" t="s">
        <v>252</v>
      </c>
      <c r="G51" s="24" t="s">
        <v>15</v>
      </c>
      <c r="H51" s="25">
        <v>46</v>
      </c>
      <c r="I51" s="25">
        <v>46</v>
      </c>
      <c r="J51" s="26" t="s">
        <v>253</v>
      </c>
      <c r="K51" s="24" t="s">
        <v>254</v>
      </c>
    </row>
    <row r="52" spans="1:11" x14ac:dyDescent="0.3">
      <c r="A52" s="24" t="s">
        <v>35</v>
      </c>
      <c r="B52" s="24" t="s">
        <v>15</v>
      </c>
      <c r="C52" s="24" t="s">
        <v>6</v>
      </c>
      <c r="D52" s="24" t="s">
        <v>99</v>
      </c>
      <c r="E52" s="24" t="s">
        <v>100</v>
      </c>
      <c r="F52" s="24" t="s">
        <v>255</v>
      </c>
      <c r="G52" s="24" t="s">
        <v>15</v>
      </c>
      <c r="H52" s="25">
        <v>43</v>
      </c>
      <c r="I52" s="25">
        <v>43</v>
      </c>
      <c r="J52" s="26" t="s">
        <v>256</v>
      </c>
      <c r="K52" s="24" t="s">
        <v>257</v>
      </c>
    </row>
    <row r="53" spans="1:11" x14ac:dyDescent="0.3">
      <c r="A53" s="24" t="s">
        <v>35</v>
      </c>
      <c r="B53" s="24" t="s">
        <v>32</v>
      </c>
      <c r="C53" s="24" t="s">
        <v>4</v>
      </c>
      <c r="D53" s="24" t="s">
        <v>144</v>
      </c>
      <c r="E53" s="24" t="s">
        <v>100</v>
      </c>
      <c r="F53" s="24" t="s">
        <v>249</v>
      </c>
      <c r="G53" s="24" t="s">
        <v>201</v>
      </c>
      <c r="H53" s="25">
        <v>96</v>
      </c>
      <c r="I53" s="25">
        <v>120</v>
      </c>
      <c r="J53" s="26" t="s">
        <v>250</v>
      </c>
      <c r="K53" s="24" t="s">
        <v>258</v>
      </c>
    </row>
    <row r="54" spans="1:11" x14ac:dyDescent="0.3">
      <c r="A54" s="24" t="s">
        <v>35</v>
      </c>
      <c r="B54" s="24" t="s">
        <v>32</v>
      </c>
      <c r="C54" s="24" t="s">
        <v>5</v>
      </c>
      <c r="D54" s="24" t="s">
        <v>144</v>
      </c>
      <c r="E54" s="24" t="s">
        <v>100</v>
      </c>
      <c r="F54" s="24" t="s">
        <v>259</v>
      </c>
      <c r="G54" s="24" t="s">
        <v>201</v>
      </c>
      <c r="H54" s="25">
        <v>175</v>
      </c>
      <c r="I54" s="25">
        <v>218.75</v>
      </c>
      <c r="J54" s="26" t="s">
        <v>260</v>
      </c>
      <c r="K54" s="24" t="s">
        <v>261</v>
      </c>
    </row>
    <row r="55" spans="1:11" x14ac:dyDescent="0.3">
      <c r="A55" s="24" t="s">
        <v>35</v>
      </c>
      <c r="B55" s="24" t="s">
        <v>32</v>
      </c>
      <c r="C55" s="24" t="s">
        <v>6</v>
      </c>
      <c r="D55" s="24" t="s">
        <v>144</v>
      </c>
      <c r="E55" s="24" t="s">
        <v>100</v>
      </c>
      <c r="F55" s="24" t="s">
        <v>262</v>
      </c>
      <c r="G55" s="24" t="s">
        <v>201</v>
      </c>
      <c r="H55" s="25">
        <v>76</v>
      </c>
      <c r="I55" s="25">
        <v>95</v>
      </c>
      <c r="J55" s="26" t="s">
        <v>263</v>
      </c>
      <c r="K55" s="24" t="s">
        <v>264</v>
      </c>
    </row>
    <row r="56" spans="1:11" x14ac:dyDescent="0.3">
      <c r="A56" s="24" t="s">
        <v>35</v>
      </c>
      <c r="B56" s="24" t="s">
        <v>34</v>
      </c>
      <c r="C56" s="24" t="s">
        <v>4</v>
      </c>
      <c r="D56" s="24" t="s">
        <v>99</v>
      </c>
      <c r="E56" s="24" t="s">
        <v>100</v>
      </c>
      <c r="F56" s="24" t="s">
        <v>265</v>
      </c>
      <c r="G56" s="24" t="s">
        <v>34</v>
      </c>
      <c r="H56" s="25">
        <v>240</v>
      </c>
      <c r="I56" s="25">
        <v>240</v>
      </c>
      <c r="J56" s="26" t="s">
        <v>266</v>
      </c>
      <c r="K56" s="24" t="s">
        <v>267</v>
      </c>
    </row>
    <row r="57" spans="1:11" x14ac:dyDescent="0.3">
      <c r="A57" s="24" t="s">
        <v>35</v>
      </c>
      <c r="B57" s="24" t="s">
        <v>34</v>
      </c>
      <c r="C57" s="24" t="s">
        <v>5</v>
      </c>
      <c r="D57" s="24" t="s">
        <v>99</v>
      </c>
      <c r="E57" s="24" t="s">
        <v>100</v>
      </c>
      <c r="F57" s="24" t="s">
        <v>268</v>
      </c>
      <c r="G57" s="24" t="s">
        <v>34</v>
      </c>
      <c r="H57" s="25">
        <v>168</v>
      </c>
      <c r="I57" s="25">
        <v>168</v>
      </c>
      <c r="J57" s="26" t="s">
        <v>269</v>
      </c>
      <c r="K57" s="24" t="s">
        <v>270</v>
      </c>
    </row>
    <row r="58" spans="1:11" x14ac:dyDescent="0.3">
      <c r="A58" s="24" t="s">
        <v>35</v>
      </c>
      <c r="B58" s="24" t="s">
        <v>34</v>
      </c>
      <c r="C58" s="24" t="s">
        <v>6</v>
      </c>
      <c r="D58" s="24" t="s">
        <v>99</v>
      </c>
      <c r="E58" s="24" t="s">
        <v>100</v>
      </c>
      <c r="F58" s="24" t="s">
        <v>271</v>
      </c>
      <c r="G58" s="24" t="s">
        <v>34</v>
      </c>
      <c r="H58" s="25">
        <v>210</v>
      </c>
      <c r="I58" s="25">
        <v>210</v>
      </c>
      <c r="J58" s="26" t="s">
        <v>272</v>
      </c>
      <c r="K58" s="24" t="s">
        <v>273</v>
      </c>
    </row>
    <row r="59" spans="1:11" x14ac:dyDescent="0.3">
      <c r="A59" s="24" t="s">
        <v>37</v>
      </c>
      <c r="B59" s="24" t="s">
        <v>15</v>
      </c>
      <c r="C59" s="24" t="s">
        <v>4</v>
      </c>
      <c r="D59" s="24" t="s">
        <v>99</v>
      </c>
      <c r="E59" s="24" t="s">
        <v>100</v>
      </c>
      <c r="F59" s="24" t="s">
        <v>274</v>
      </c>
      <c r="G59" s="24" t="s">
        <v>15</v>
      </c>
      <c r="H59" s="25">
        <v>90</v>
      </c>
      <c r="I59" s="25">
        <v>90</v>
      </c>
      <c r="J59" s="26" t="s">
        <v>275</v>
      </c>
      <c r="K59" s="24" t="s">
        <v>276</v>
      </c>
    </row>
    <row r="60" spans="1:11" x14ac:dyDescent="0.3">
      <c r="A60" s="24" t="s">
        <v>37</v>
      </c>
      <c r="B60" s="24" t="s">
        <v>15</v>
      </c>
      <c r="C60" s="24" t="s">
        <v>5</v>
      </c>
      <c r="D60" s="24" t="s">
        <v>99</v>
      </c>
      <c r="E60" s="24" t="s">
        <v>100</v>
      </c>
      <c r="F60" s="24" t="s">
        <v>277</v>
      </c>
      <c r="G60" s="24" t="s">
        <v>15</v>
      </c>
      <c r="H60" s="25">
        <v>118</v>
      </c>
      <c r="I60" s="25">
        <v>118</v>
      </c>
      <c r="J60" s="26" t="s">
        <v>278</v>
      </c>
      <c r="K60" s="24" t="s">
        <v>279</v>
      </c>
    </row>
    <row r="61" spans="1:11" x14ac:dyDescent="0.3">
      <c r="A61" s="24" t="s">
        <v>37</v>
      </c>
      <c r="B61" s="24" t="s">
        <v>15</v>
      </c>
      <c r="C61" s="24" t="s">
        <v>6</v>
      </c>
      <c r="D61" s="24" t="s">
        <v>99</v>
      </c>
      <c r="E61" s="24" t="s">
        <v>100</v>
      </c>
      <c r="F61" s="24" t="s">
        <v>280</v>
      </c>
      <c r="G61" s="24" t="s">
        <v>15</v>
      </c>
      <c r="H61" s="25">
        <v>90</v>
      </c>
      <c r="I61" s="25">
        <v>90</v>
      </c>
      <c r="J61" s="26" t="s">
        <v>281</v>
      </c>
      <c r="K61" s="24" t="s">
        <v>282</v>
      </c>
    </row>
    <row r="62" spans="1:11" x14ac:dyDescent="0.3">
      <c r="A62" s="24" t="s">
        <v>37</v>
      </c>
      <c r="B62" s="24" t="s">
        <v>32</v>
      </c>
      <c r="C62" s="24" t="s">
        <v>4</v>
      </c>
      <c r="D62" s="24" t="s">
        <v>99</v>
      </c>
      <c r="E62" s="24" t="s">
        <v>100</v>
      </c>
      <c r="F62" s="24" t="s">
        <v>283</v>
      </c>
      <c r="G62" s="24" t="s">
        <v>32</v>
      </c>
      <c r="H62" s="25">
        <v>298</v>
      </c>
      <c r="I62" s="25">
        <v>298</v>
      </c>
      <c r="J62" s="26" t="s">
        <v>284</v>
      </c>
      <c r="K62" s="24" t="s">
        <v>285</v>
      </c>
    </row>
    <row r="63" spans="1:11" x14ac:dyDescent="0.3">
      <c r="A63" s="24" t="s">
        <v>37</v>
      </c>
      <c r="B63" s="24" t="s">
        <v>32</v>
      </c>
      <c r="C63" s="24" t="s">
        <v>5</v>
      </c>
      <c r="D63" s="24" t="s">
        <v>99</v>
      </c>
      <c r="E63" s="24" t="s">
        <v>100</v>
      </c>
      <c r="F63" s="24" t="s">
        <v>286</v>
      </c>
      <c r="G63" s="24" t="s">
        <v>32</v>
      </c>
      <c r="H63" s="25">
        <v>270</v>
      </c>
      <c r="I63" s="25">
        <v>270</v>
      </c>
      <c r="J63" s="26" t="s">
        <v>287</v>
      </c>
      <c r="K63" s="24" t="s">
        <v>288</v>
      </c>
    </row>
    <row r="64" spans="1:11" x14ac:dyDescent="0.3">
      <c r="A64" s="24" t="s">
        <v>37</v>
      </c>
      <c r="B64" s="24" t="s">
        <v>32</v>
      </c>
      <c r="C64" s="24" t="s">
        <v>6</v>
      </c>
      <c r="D64" s="24" t="s">
        <v>144</v>
      </c>
      <c r="E64" s="24" t="s">
        <v>100</v>
      </c>
      <c r="F64" s="24" t="s">
        <v>280</v>
      </c>
      <c r="G64" s="24" t="s">
        <v>15</v>
      </c>
      <c r="H64" s="25">
        <v>90</v>
      </c>
      <c r="I64" s="25">
        <v>225</v>
      </c>
      <c r="J64" s="26" t="s">
        <v>281</v>
      </c>
      <c r="K64" s="24" t="s">
        <v>289</v>
      </c>
    </row>
    <row r="65" spans="1:11" x14ac:dyDescent="0.3">
      <c r="A65" s="24" t="s">
        <v>37</v>
      </c>
      <c r="B65" s="24" t="s">
        <v>34</v>
      </c>
      <c r="C65" s="24" t="s">
        <v>4</v>
      </c>
      <c r="D65" s="24" t="s">
        <v>99</v>
      </c>
      <c r="E65" s="24" t="s">
        <v>100</v>
      </c>
      <c r="F65" s="24" t="s">
        <v>290</v>
      </c>
      <c r="G65" s="24" t="s">
        <v>34</v>
      </c>
      <c r="H65" s="25">
        <v>265</v>
      </c>
      <c r="I65" s="25">
        <v>265</v>
      </c>
      <c r="J65" s="26" t="s">
        <v>291</v>
      </c>
      <c r="K65" s="24" t="s">
        <v>292</v>
      </c>
    </row>
    <row r="66" spans="1:11" x14ac:dyDescent="0.3">
      <c r="A66" s="24" t="s">
        <v>37</v>
      </c>
      <c r="B66" s="24" t="s">
        <v>34</v>
      </c>
      <c r="C66" s="24" t="s">
        <v>5</v>
      </c>
      <c r="D66" s="24" t="s">
        <v>99</v>
      </c>
      <c r="E66" s="24" t="s">
        <v>100</v>
      </c>
      <c r="F66" s="24" t="s">
        <v>293</v>
      </c>
      <c r="G66" s="24" t="s">
        <v>34</v>
      </c>
      <c r="H66" s="25">
        <v>377</v>
      </c>
      <c r="I66" s="25">
        <v>377</v>
      </c>
      <c r="J66" s="26" t="s">
        <v>294</v>
      </c>
      <c r="K66" s="24" t="s">
        <v>295</v>
      </c>
    </row>
    <row r="67" spans="1:11" x14ac:dyDescent="0.3">
      <c r="A67" s="24" t="s">
        <v>37</v>
      </c>
      <c r="B67" s="24" t="s">
        <v>34</v>
      </c>
      <c r="C67" s="24" t="s">
        <v>6</v>
      </c>
      <c r="D67" s="24" t="s">
        <v>144</v>
      </c>
      <c r="E67" s="24" t="s">
        <v>100</v>
      </c>
      <c r="F67" s="24" t="s">
        <v>280</v>
      </c>
      <c r="G67" s="24" t="s">
        <v>15</v>
      </c>
      <c r="H67" s="25">
        <v>90</v>
      </c>
      <c r="I67" s="25">
        <v>450</v>
      </c>
      <c r="J67" s="26" t="s">
        <v>281</v>
      </c>
      <c r="K67" s="24" t="s">
        <v>296</v>
      </c>
    </row>
    <row r="68" spans="1:11" x14ac:dyDescent="0.3">
      <c r="A68" s="24" t="s">
        <v>40</v>
      </c>
      <c r="B68" s="24" t="s">
        <v>15</v>
      </c>
      <c r="C68" s="24" t="s">
        <v>4</v>
      </c>
      <c r="D68" s="24" t="s">
        <v>99</v>
      </c>
      <c r="E68" s="24" t="s">
        <v>100</v>
      </c>
      <c r="F68" s="24" t="s">
        <v>297</v>
      </c>
      <c r="G68" s="24" t="s">
        <v>15</v>
      </c>
      <c r="H68" s="25">
        <v>179</v>
      </c>
      <c r="I68" s="25">
        <v>179</v>
      </c>
      <c r="J68" s="26" t="s">
        <v>298</v>
      </c>
      <c r="K68" s="24" t="s">
        <v>299</v>
      </c>
    </row>
    <row r="69" spans="1:11" x14ac:dyDescent="0.3">
      <c r="A69" s="24" t="s">
        <v>40</v>
      </c>
      <c r="B69" s="24" t="s">
        <v>15</v>
      </c>
      <c r="C69" s="24" t="s">
        <v>5</v>
      </c>
      <c r="D69" s="24" t="s">
        <v>99</v>
      </c>
      <c r="E69" s="24" t="s">
        <v>100</v>
      </c>
      <c r="F69" s="24" t="s">
        <v>300</v>
      </c>
      <c r="G69" s="24" t="s">
        <v>15</v>
      </c>
      <c r="H69" s="25">
        <v>195</v>
      </c>
      <c r="I69" s="25">
        <v>195</v>
      </c>
      <c r="J69" s="26" t="s">
        <v>301</v>
      </c>
      <c r="K69" s="24" t="s">
        <v>302</v>
      </c>
    </row>
    <row r="70" spans="1:11" x14ac:dyDescent="0.3">
      <c r="A70" s="24" t="s">
        <v>40</v>
      </c>
      <c r="B70" s="24" t="s">
        <v>15</v>
      </c>
      <c r="C70" s="24" t="s">
        <v>6</v>
      </c>
      <c r="D70" s="24" t="s">
        <v>134</v>
      </c>
      <c r="E70" s="24" t="s">
        <v>100</v>
      </c>
      <c r="F70" s="24" t="s">
        <v>303</v>
      </c>
      <c r="G70" s="24" t="s">
        <v>304</v>
      </c>
      <c r="H70" s="25">
        <v>55</v>
      </c>
      <c r="I70" s="25"/>
      <c r="J70" s="26" t="s">
        <v>305</v>
      </c>
      <c r="K70" s="24" t="s">
        <v>306</v>
      </c>
    </row>
    <row r="71" spans="1:11" x14ac:dyDescent="0.3">
      <c r="A71" s="24" t="s">
        <v>41</v>
      </c>
      <c r="B71" s="24" t="s">
        <v>15</v>
      </c>
      <c r="C71" s="24" t="s">
        <v>4</v>
      </c>
      <c r="D71" s="24" t="s">
        <v>99</v>
      </c>
      <c r="E71" s="24" t="s">
        <v>100</v>
      </c>
      <c r="F71" s="24" t="s">
        <v>307</v>
      </c>
      <c r="G71" s="24" t="s">
        <v>15</v>
      </c>
      <c r="H71" s="25">
        <v>209</v>
      </c>
      <c r="I71" s="25">
        <v>209</v>
      </c>
      <c r="J71" s="26" t="s">
        <v>308</v>
      </c>
      <c r="K71" s="24" t="s">
        <v>309</v>
      </c>
    </row>
    <row r="72" spans="1:11" x14ac:dyDescent="0.3">
      <c r="A72" s="24" t="s">
        <v>41</v>
      </c>
      <c r="B72" s="24" t="s">
        <v>15</v>
      </c>
      <c r="C72" s="24" t="s">
        <v>5</v>
      </c>
      <c r="D72" s="24" t="s">
        <v>144</v>
      </c>
      <c r="E72" s="24" t="s">
        <v>100</v>
      </c>
      <c r="F72" s="24" t="s">
        <v>310</v>
      </c>
      <c r="G72" s="24" t="s">
        <v>311</v>
      </c>
      <c r="H72" s="25">
        <v>102</v>
      </c>
      <c r="I72" s="25">
        <v>204</v>
      </c>
      <c r="J72" s="26" t="s">
        <v>312</v>
      </c>
      <c r="K72" s="24" t="s">
        <v>313</v>
      </c>
    </row>
    <row r="73" spans="1:11" x14ac:dyDescent="0.3">
      <c r="A73" s="24" t="s">
        <v>41</v>
      </c>
      <c r="B73" s="24" t="s">
        <v>15</v>
      </c>
      <c r="C73" s="24" t="s">
        <v>6</v>
      </c>
      <c r="D73" s="24" t="s">
        <v>134</v>
      </c>
      <c r="E73" s="24"/>
      <c r="F73" s="24" t="s">
        <v>314</v>
      </c>
      <c r="G73" s="24" t="s">
        <v>315</v>
      </c>
      <c r="H73" s="25">
        <v>200</v>
      </c>
      <c r="I73" s="25"/>
      <c r="J73" s="26" t="s">
        <v>316</v>
      </c>
      <c r="K73" s="24" t="s">
        <v>317</v>
      </c>
    </row>
    <row r="74" spans="1:11" x14ac:dyDescent="0.3">
      <c r="A74" s="24" t="s">
        <v>43</v>
      </c>
      <c r="B74" s="24" t="s">
        <v>15</v>
      </c>
      <c r="C74" s="24" t="s">
        <v>4</v>
      </c>
      <c r="D74" s="24" t="s">
        <v>99</v>
      </c>
      <c r="E74" s="24" t="s">
        <v>100</v>
      </c>
      <c r="F74" s="24" t="s">
        <v>318</v>
      </c>
      <c r="G74" s="24" t="s">
        <v>15</v>
      </c>
      <c r="H74" s="25">
        <v>180</v>
      </c>
      <c r="I74" s="25">
        <v>180</v>
      </c>
      <c r="J74" s="26" t="s">
        <v>319</v>
      </c>
      <c r="K74" s="24" t="s">
        <v>320</v>
      </c>
    </row>
    <row r="75" spans="1:11" x14ac:dyDescent="0.3">
      <c r="A75" s="24" t="s">
        <v>43</v>
      </c>
      <c r="B75" s="24" t="s">
        <v>15</v>
      </c>
      <c r="C75" s="24" t="s">
        <v>5</v>
      </c>
      <c r="D75" s="24" t="s">
        <v>99</v>
      </c>
      <c r="E75" s="24" t="s">
        <v>100</v>
      </c>
      <c r="F75" s="24" t="s">
        <v>321</v>
      </c>
      <c r="G75" s="24" t="s">
        <v>15</v>
      </c>
      <c r="H75" s="25">
        <v>214</v>
      </c>
      <c r="I75" s="25">
        <v>214</v>
      </c>
      <c r="J75" s="26" t="s">
        <v>322</v>
      </c>
      <c r="K75" s="24" t="s">
        <v>323</v>
      </c>
    </row>
    <row r="76" spans="1:11" x14ac:dyDescent="0.3">
      <c r="A76" s="24" t="s">
        <v>43</v>
      </c>
      <c r="B76" s="24" t="s">
        <v>15</v>
      </c>
      <c r="C76" s="24" t="s">
        <v>6</v>
      </c>
      <c r="D76" s="24" t="s">
        <v>134</v>
      </c>
      <c r="E76" s="24" t="s">
        <v>100</v>
      </c>
      <c r="F76" s="24" t="s">
        <v>324</v>
      </c>
      <c r="G76" s="24" t="s">
        <v>201</v>
      </c>
      <c r="H76" s="25">
        <v>200</v>
      </c>
      <c r="I76" s="25"/>
      <c r="J76" s="26" t="s">
        <v>325</v>
      </c>
      <c r="K76" s="24" t="s">
        <v>326</v>
      </c>
    </row>
    <row r="77" spans="1:11" x14ac:dyDescent="0.3">
      <c r="A77" s="24" t="s">
        <v>44</v>
      </c>
      <c r="B77" s="24" t="s">
        <v>15</v>
      </c>
      <c r="C77" s="24" t="s">
        <v>4</v>
      </c>
      <c r="D77" s="24" t="s">
        <v>99</v>
      </c>
      <c r="E77" s="24" t="s">
        <v>100</v>
      </c>
      <c r="F77" s="24" t="s">
        <v>327</v>
      </c>
      <c r="G77" s="24" t="s">
        <v>15</v>
      </c>
      <c r="H77" s="25">
        <v>159</v>
      </c>
      <c r="I77" s="25">
        <v>159</v>
      </c>
      <c r="J77" s="26" t="s">
        <v>328</v>
      </c>
      <c r="K77" s="24" t="s">
        <v>329</v>
      </c>
    </row>
    <row r="78" spans="1:11" x14ac:dyDescent="0.3">
      <c r="A78" s="24" t="s">
        <v>44</v>
      </c>
      <c r="B78" s="24" t="s">
        <v>15</v>
      </c>
      <c r="C78" s="24" t="s">
        <v>5</v>
      </c>
      <c r="D78" s="24" t="s">
        <v>99</v>
      </c>
      <c r="E78" s="24" t="s">
        <v>100</v>
      </c>
      <c r="F78" s="24" t="s">
        <v>330</v>
      </c>
      <c r="G78" s="24" t="s">
        <v>15</v>
      </c>
      <c r="H78" s="25">
        <v>205</v>
      </c>
      <c r="I78" s="25">
        <v>205</v>
      </c>
      <c r="J78" s="26" t="s">
        <v>331</v>
      </c>
      <c r="K78" s="24" t="s">
        <v>332</v>
      </c>
    </row>
    <row r="79" spans="1:11" x14ac:dyDescent="0.3">
      <c r="A79" s="24" t="s">
        <v>44</v>
      </c>
      <c r="B79" s="24" t="s">
        <v>15</v>
      </c>
      <c r="C79" s="24" t="s">
        <v>6</v>
      </c>
      <c r="D79" s="24" t="s">
        <v>134</v>
      </c>
      <c r="E79" s="24"/>
      <c r="F79" s="24"/>
      <c r="G79" s="24"/>
      <c r="H79" s="25"/>
      <c r="I79" s="25"/>
      <c r="J79" s="26" t="s">
        <v>333</v>
      </c>
      <c r="K79" s="24" t="s">
        <v>334</v>
      </c>
    </row>
    <row r="80" spans="1:11" x14ac:dyDescent="0.3">
      <c r="A80" s="24" t="s">
        <v>45</v>
      </c>
      <c r="B80" s="24" t="s">
        <v>15</v>
      </c>
      <c r="C80" s="24" t="s">
        <v>4</v>
      </c>
      <c r="D80" s="24" t="s">
        <v>144</v>
      </c>
      <c r="E80" s="24" t="s">
        <v>100</v>
      </c>
      <c r="F80" s="24" t="s">
        <v>335</v>
      </c>
      <c r="G80" s="24" t="s">
        <v>336</v>
      </c>
      <c r="H80" s="25">
        <v>135</v>
      </c>
      <c r="I80" s="25">
        <v>13.5</v>
      </c>
      <c r="J80" s="26" t="s">
        <v>337</v>
      </c>
      <c r="K80" s="24" t="s">
        <v>338</v>
      </c>
    </row>
    <row r="81" spans="1:11" x14ac:dyDescent="0.3">
      <c r="A81" s="24" t="s">
        <v>45</v>
      </c>
      <c r="B81" s="24" t="s">
        <v>15</v>
      </c>
      <c r="C81" s="24" t="s">
        <v>5</v>
      </c>
      <c r="D81" s="24" t="s">
        <v>144</v>
      </c>
      <c r="E81" s="24" t="s">
        <v>100</v>
      </c>
      <c r="F81" s="24" t="s">
        <v>339</v>
      </c>
      <c r="G81" s="24" t="s">
        <v>336</v>
      </c>
      <c r="H81" s="25">
        <v>142</v>
      </c>
      <c r="I81" s="25">
        <v>14.2</v>
      </c>
      <c r="J81" s="26" t="s">
        <v>340</v>
      </c>
      <c r="K81" s="24" t="s">
        <v>341</v>
      </c>
    </row>
    <row r="82" spans="1:11" x14ac:dyDescent="0.3">
      <c r="A82" s="24" t="s">
        <v>45</v>
      </c>
      <c r="B82" s="24" t="s">
        <v>15</v>
      </c>
      <c r="C82" s="24" t="s">
        <v>6</v>
      </c>
      <c r="D82" s="24" t="s">
        <v>144</v>
      </c>
      <c r="E82" s="24" t="s">
        <v>100</v>
      </c>
      <c r="F82" s="24" t="s">
        <v>342</v>
      </c>
      <c r="G82" s="24" t="s">
        <v>336</v>
      </c>
      <c r="H82" s="25">
        <v>54</v>
      </c>
      <c r="I82" s="25">
        <v>5.4</v>
      </c>
      <c r="J82" s="26" t="s">
        <v>343</v>
      </c>
      <c r="K82" s="24" t="s">
        <v>344</v>
      </c>
    </row>
    <row r="83" spans="1:11" x14ac:dyDescent="0.3">
      <c r="A83" s="24" t="s">
        <v>47</v>
      </c>
      <c r="B83" s="24" t="s">
        <v>48</v>
      </c>
      <c r="C83" s="24" t="s">
        <v>4</v>
      </c>
      <c r="D83" s="24" t="s">
        <v>99</v>
      </c>
      <c r="E83" s="24" t="s">
        <v>100</v>
      </c>
      <c r="F83" s="24" t="s">
        <v>345</v>
      </c>
      <c r="G83" s="24" t="s">
        <v>48</v>
      </c>
      <c r="H83" s="25">
        <v>397</v>
      </c>
      <c r="I83" s="25">
        <v>397</v>
      </c>
      <c r="J83" s="26" t="s">
        <v>346</v>
      </c>
      <c r="K83" s="24" t="s">
        <v>347</v>
      </c>
    </row>
    <row r="84" spans="1:11" x14ac:dyDescent="0.3">
      <c r="A84" s="24" t="s">
        <v>47</v>
      </c>
      <c r="B84" s="24" t="s">
        <v>48</v>
      </c>
      <c r="C84" s="24" t="s">
        <v>5</v>
      </c>
      <c r="D84" s="24" t="s">
        <v>99</v>
      </c>
      <c r="E84" s="24" t="s">
        <v>100</v>
      </c>
      <c r="F84" s="24" t="s">
        <v>348</v>
      </c>
      <c r="G84" s="24" t="s">
        <v>48</v>
      </c>
      <c r="H84" s="25">
        <v>470</v>
      </c>
      <c r="I84" s="25">
        <v>470</v>
      </c>
      <c r="J84" s="26" t="s">
        <v>349</v>
      </c>
      <c r="K84" s="24" t="s">
        <v>350</v>
      </c>
    </row>
    <row r="85" spans="1:11" x14ac:dyDescent="0.3">
      <c r="A85" s="24" t="s">
        <v>47</v>
      </c>
      <c r="B85" s="24" t="s">
        <v>48</v>
      </c>
      <c r="C85" s="24" t="s">
        <v>6</v>
      </c>
      <c r="D85" s="24" t="s">
        <v>99</v>
      </c>
      <c r="E85" s="24" t="s">
        <v>351</v>
      </c>
      <c r="F85" s="24" t="s">
        <v>352</v>
      </c>
      <c r="G85" s="24" t="s">
        <v>48</v>
      </c>
      <c r="H85" s="25">
        <v>391</v>
      </c>
      <c r="I85" s="25">
        <v>391</v>
      </c>
      <c r="J85" s="26" t="s">
        <v>353</v>
      </c>
      <c r="K85" s="24" t="s">
        <v>354</v>
      </c>
    </row>
    <row r="86" spans="1:11" x14ac:dyDescent="0.3">
      <c r="A86" s="24" t="s">
        <v>47</v>
      </c>
      <c r="B86" s="24" t="s">
        <v>50</v>
      </c>
      <c r="C86" s="24" t="s">
        <v>4</v>
      </c>
      <c r="D86" s="24" t="s">
        <v>144</v>
      </c>
      <c r="E86" s="24" t="s">
        <v>100</v>
      </c>
      <c r="F86" s="24" t="s">
        <v>345</v>
      </c>
      <c r="G86" s="24" t="s">
        <v>48</v>
      </c>
      <c r="H86" s="25">
        <v>397</v>
      </c>
      <c r="I86" s="25">
        <v>3970</v>
      </c>
      <c r="J86" s="26" t="s">
        <v>346</v>
      </c>
      <c r="K86" s="24" t="s">
        <v>355</v>
      </c>
    </row>
    <row r="87" spans="1:11" x14ac:dyDescent="0.3">
      <c r="A87" s="24" t="s">
        <v>47</v>
      </c>
      <c r="B87" s="24" t="s">
        <v>50</v>
      </c>
      <c r="C87" s="24" t="s">
        <v>5</v>
      </c>
      <c r="D87" s="24" t="s">
        <v>144</v>
      </c>
      <c r="E87" s="24" t="s">
        <v>100</v>
      </c>
      <c r="F87" s="24" t="s">
        <v>348</v>
      </c>
      <c r="G87" s="24" t="s">
        <v>48</v>
      </c>
      <c r="H87" s="25">
        <v>470</v>
      </c>
      <c r="I87" s="25">
        <v>4700</v>
      </c>
      <c r="J87" s="26" t="s">
        <v>349</v>
      </c>
      <c r="K87" s="24" t="s">
        <v>356</v>
      </c>
    </row>
    <row r="88" spans="1:11" x14ac:dyDescent="0.3">
      <c r="A88" s="24" t="s">
        <v>47</v>
      </c>
      <c r="B88" s="24" t="s">
        <v>50</v>
      </c>
      <c r="C88" s="24" t="s">
        <v>6</v>
      </c>
      <c r="D88" s="24" t="s">
        <v>144</v>
      </c>
      <c r="E88" s="24" t="s">
        <v>100</v>
      </c>
      <c r="F88" s="24" t="s">
        <v>357</v>
      </c>
      <c r="G88" s="24" t="s">
        <v>358</v>
      </c>
      <c r="H88" s="25">
        <v>808.52</v>
      </c>
      <c r="I88" s="25">
        <v>4042.6</v>
      </c>
      <c r="J88" s="26" t="s">
        <v>359</v>
      </c>
      <c r="K88" s="24" t="s">
        <v>360</v>
      </c>
    </row>
    <row r="89" spans="1:11" x14ac:dyDescent="0.3">
      <c r="A89" s="24" t="s">
        <v>52</v>
      </c>
      <c r="B89" s="24" t="s">
        <v>48</v>
      </c>
      <c r="C89" s="24" t="s">
        <v>4</v>
      </c>
      <c r="D89" s="24" t="s">
        <v>99</v>
      </c>
      <c r="E89" s="24" t="s">
        <v>100</v>
      </c>
      <c r="F89" s="24" t="s">
        <v>361</v>
      </c>
      <c r="G89" s="24" t="s">
        <v>48</v>
      </c>
      <c r="H89" s="25">
        <v>1340</v>
      </c>
      <c r="I89" s="25">
        <v>1340</v>
      </c>
      <c r="J89" s="26" t="s">
        <v>362</v>
      </c>
      <c r="K89" s="24" t="s">
        <v>363</v>
      </c>
    </row>
    <row r="90" spans="1:11" x14ac:dyDescent="0.3">
      <c r="A90" s="24" t="s">
        <v>52</v>
      </c>
      <c r="B90" s="24" t="s">
        <v>48</v>
      </c>
      <c r="C90" s="24" t="s">
        <v>5</v>
      </c>
      <c r="D90" s="24" t="s">
        <v>99</v>
      </c>
      <c r="E90" s="24" t="s">
        <v>100</v>
      </c>
      <c r="F90" s="24" t="s">
        <v>364</v>
      </c>
      <c r="G90" s="24" t="s">
        <v>48</v>
      </c>
      <c r="H90" s="25">
        <v>1799</v>
      </c>
      <c r="I90" s="25">
        <v>1799</v>
      </c>
      <c r="J90" s="26" t="s">
        <v>365</v>
      </c>
      <c r="K90" s="24" t="s">
        <v>366</v>
      </c>
    </row>
    <row r="91" spans="1:11" x14ac:dyDescent="0.3">
      <c r="A91" s="24" t="s">
        <v>52</v>
      </c>
      <c r="B91" s="24" t="s">
        <v>48</v>
      </c>
      <c r="C91" s="24" t="s">
        <v>6</v>
      </c>
      <c r="D91" s="24" t="s">
        <v>134</v>
      </c>
      <c r="E91" s="24"/>
      <c r="F91" s="24"/>
      <c r="G91" s="24"/>
      <c r="H91" s="25"/>
      <c r="I91" s="25"/>
      <c r="J91" s="26" t="s">
        <v>367</v>
      </c>
      <c r="K91" s="24" t="s">
        <v>368</v>
      </c>
    </row>
    <row r="92" spans="1:11" x14ac:dyDescent="0.3">
      <c r="A92" s="24" t="s">
        <v>52</v>
      </c>
      <c r="B92" s="24" t="s">
        <v>50</v>
      </c>
      <c r="C92" s="24" t="s">
        <v>4</v>
      </c>
      <c r="D92" s="24" t="s">
        <v>144</v>
      </c>
      <c r="E92" s="24" t="s">
        <v>100</v>
      </c>
      <c r="F92" s="24" t="s">
        <v>361</v>
      </c>
      <c r="G92" s="24" t="s">
        <v>48</v>
      </c>
      <c r="H92" s="25">
        <v>1340</v>
      </c>
      <c r="I92" s="25">
        <v>13400</v>
      </c>
      <c r="J92" s="26" t="s">
        <v>362</v>
      </c>
      <c r="K92" s="24" t="s">
        <v>369</v>
      </c>
    </row>
    <row r="93" spans="1:11" x14ac:dyDescent="0.3">
      <c r="A93" s="24" t="s">
        <v>52</v>
      </c>
      <c r="B93" s="24" t="s">
        <v>50</v>
      </c>
      <c r="C93" s="24" t="s">
        <v>5</v>
      </c>
      <c r="D93" s="24" t="s">
        <v>144</v>
      </c>
      <c r="E93" s="24" t="s">
        <v>100</v>
      </c>
      <c r="F93" s="24" t="s">
        <v>364</v>
      </c>
      <c r="G93" s="24" t="s">
        <v>48</v>
      </c>
      <c r="H93" s="25">
        <v>1799</v>
      </c>
      <c r="I93" s="25">
        <v>17990</v>
      </c>
      <c r="J93" s="26" t="s">
        <v>365</v>
      </c>
      <c r="K93" s="24" t="s">
        <v>370</v>
      </c>
    </row>
    <row r="94" spans="1:11" x14ac:dyDescent="0.3">
      <c r="A94" s="24" t="s">
        <v>52</v>
      </c>
      <c r="B94" s="24" t="s">
        <v>50</v>
      </c>
      <c r="C94" s="24" t="s">
        <v>6</v>
      </c>
      <c r="D94" s="24" t="s">
        <v>134</v>
      </c>
      <c r="E94" s="24"/>
      <c r="F94" s="24"/>
      <c r="G94" s="24"/>
      <c r="H94" s="25"/>
      <c r="I94" s="25"/>
      <c r="J94" s="26" t="s">
        <v>367</v>
      </c>
      <c r="K94" s="24" t="s">
        <v>371</v>
      </c>
    </row>
    <row r="95" spans="1:11" x14ac:dyDescent="0.3">
      <c r="A95" s="24" t="s">
        <v>55</v>
      </c>
      <c r="B95" s="24" t="s">
        <v>48</v>
      </c>
      <c r="C95" s="24" t="s">
        <v>4</v>
      </c>
      <c r="D95" s="24" t="s">
        <v>134</v>
      </c>
      <c r="E95" s="24"/>
      <c r="F95" s="24"/>
      <c r="G95" s="24"/>
      <c r="H95" s="25"/>
      <c r="I95" s="25"/>
      <c r="J95" s="26" t="s">
        <v>372</v>
      </c>
      <c r="K95" s="24" t="s">
        <v>373</v>
      </c>
    </row>
    <row r="96" spans="1:11" x14ac:dyDescent="0.3">
      <c r="A96" s="24" t="s">
        <v>55</v>
      </c>
      <c r="B96" s="24" t="s">
        <v>48</v>
      </c>
      <c r="C96" s="24" t="s">
        <v>5</v>
      </c>
      <c r="D96" s="24" t="s">
        <v>134</v>
      </c>
      <c r="E96" s="24"/>
      <c r="F96" s="24"/>
      <c r="G96" s="24"/>
      <c r="H96" s="25"/>
      <c r="I96" s="25"/>
      <c r="J96" s="26" t="s">
        <v>374</v>
      </c>
      <c r="K96" s="24" t="s">
        <v>375</v>
      </c>
    </row>
    <row r="97" spans="1:11" x14ac:dyDescent="0.3">
      <c r="A97" s="24" t="s">
        <v>55</v>
      </c>
      <c r="B97" s="24" t="s">
        <v>48</v>
      </c>
      <c r="C97" s="24" t="s">
        <v>6</v>
      </c>
      <c r="D97" s="24" t="s">
        <v>134</v>
      </c>
      <c r="E97" s="24"/>
      <c r="F97" s="24"/>
      <c r="G97" s="24"/>
      <c r="H97" s="25"/>
      <c r="I97" s="25"/>
      <c r="J97" s="26" t="s">
        <v>376</v>
      </c>
      <c r="K97" s="24" t="s">
        <v>377</v>
      </c>
    </row>
    <row r="98" spans="1:11" x14ac:dyDescent="0.3">
      <c r="A98" s="24" t="s">
        <v>55</v>
      </c>
      <c r="B98" s="24" t="s">
        <v>50</v>
      </c>
      <c r="C98" s="24" t="s">
        <v>4</v>
      </c>
      <c r="D98" s="24" t="s">
        <v>134</v>
      </c>
      <c r="E98" s="24"/>
      <c r="F98" s="24"/>
      <c r="G98" s="24"/>
      <c r="H98" s="25"/>
      <c r="I98" s="25"/>
      <c r="J98" s="26" t="s">
        <v>372</v>
      </c>
      <c r="K98" s="24" t="s">
        <v>378</v>
      </c>
    </row>
    <row r="99" spans="1:11" x14ac:dyDescent="0.3">
      <c r="A99" s="24" t="s">
        <v>55</v>
      </c>
      <c r="B99" s="24" t="s">
        <v>50</v>
      </c>
      <c r="C99" s="24" t="s">
        <v>5</v>
      </c>
      <c r="D99" s="24" t="s">
        <v>134</v>
      </c>
      <c r="E99" s="24"/>
      <c r="F99" s="24"/>
      <c r="G99" s="24"/>
      <c r="H99" s="25"/>
      <c r="I99" s="25"/>
      <c r="J99" s="26" t="s">
        <v>374</v>
      </c>
      <c r="K99" s="24" t="s">
        <v>378</v>
      </c>
    </row>
    <row r="100" spans="1:11" x14ac:dyDescent="0.3">
      <c r="A100" s="24" t="s">
        <v>55</v>
      </c>
      <c r="B100" s="24" t="s">
        <v>50</v>
      </c>
      <c r="C100" s="24" t="s">
        <v>6</v>
      </c>
      <c r="D100" s="24" t="s">
        <v>134</v>
      </c>
      <c r="E100" s="24"/>
      <c r="F100" s="24"/>
      <c r="G100" s="24"/>
      <c r="H100" s="25"/>
      <c r="I100" s="25"/>
      <c r="J100" s="26" t="s">
        <v>376</v>
      </c>
      <c r="K100" s="24" t="s">
        <v>378</v>
      </c>
    </row>
    <row r="101" spans="1:11" x14ac:dyDescent="0.3">
      <c r="A101" s="24" t="s">
        <v>58</v>
      </c>
      <c r="B101" s="24" t="s">
        <v>48</v>
      </c>
      <c r="C101" s="24" t="s">
        <v>4</v>
      </c>
      <c r="D101" s="24" t="s">
        <v>99</v>
      </c>
      <c r="E101" s="24" t="s">
        <v>100</v>
      </c>
      <c r="F101" s="24" t="s">
        <v>379</v>
      </c>
      <c r="G101" s="24" t="s">
        <v>48</v>
      </c>
      <c r="H101" s="25">
        <v>895</v>
      </c>
      <c r="I101" s="25">
        <v>895</v>
      </c>
      <c r="J101" s="26" t="s">
        <v>380</v>
      </c>
      <c r="K101" s="24" t="s">
        <v>381</v>
      </c>
    </row>
    <row r="102" spans="1:11" x14ac:dyDescent="0.3">
      <c r="A102" s="24" t="s">
        <v>58</v>
      </c>
      <c r="B102" s="24" t="s">
        <v>48</v>
      </c>
      <c r="C102" s="24" t="s">
        <v>5</v>
      </c>
      <c r="D102" s="24" t="s">
        <v>144</v>
      </c>
      <c r="E102" s="24" t="s">
        <v>100</v>
      </c>
      <c r="F102" s="24" t="s">
        <v>382</v>
      </c>
      <c r="G102" s="24" t="s">
        <v>358</v>
      </c>
      <c r="H102" s="25">
        <v>780</v>
      </c>
      <c r="I102" s="25">
        <v>390</v>
      </c>
      <c r="J102" s="26" t="s">
        <v>383</v>
      </c>
      <c r="K102" s="24" t="s">
        <v>384</v>
      </c>
    </row>
    <row r="103" spans="1:11" x14ac:dyDescent="0.3">
      <c r="A103" s="24" t="s">
        <v>58</v>
      </c>
      <c r="B103" s="24" t="s">
        <v>48</v>
      </c>
      <c r="C103" s="24" t="s">
        <v>6</v>
      </c>
      <c r="D103" s="24" t="s">
        <v>99</v>
      </c>
      <c r="E103" s="24" t="s">
        <v>100</v>
      </c>
      <c r="F103" s="24" t="s">
        <v>385</v>
      </c>
      <c r="G103" s="24" t="s">
        <v>48</v>
      </c>
      <c r="H103" s="25">
        <v>382.5</v>
      </c>
      <c r="I103" s="25">
        <v>382.5</v>
      </c>
      <c r="J103" s="26" t="s">
        <v>386</v>
      </c>
      <c r="K103" s="24" t="s">
        <v>387</v>
      </c>
    </row>
    <row r="104" spans="1:11" x14ac:dyDescent="0.3">
      <c r="A104" s="24" t="s">
        <v>58</v>
      </c>
      <c r="B104" s="24" t="s">
        <v>50</v>
      </c>
      <c r="C104" s="24" t="s">
        <v>4</v>
      </c>
      <c r="D104" s="24" t="s">
        <v>144</v>
      </c>
      <c r="E104" s="24" t="s">
        <v>100</v>
      </c>
      <c r="F104" s="24" t="s">
        <v>379</v>
      </c>
      <c r="G104" s="24" t="s">
        <v>48</v>
      </c>
      <c r="H104" s="25">
        <v>895</v>
      </c>
      <c r="I104" s="25">
        <v>8950</v>
      </c>
      <c r="J104" s="26" t="s">
        <v>380</v>
      </c>
      <c r="K104" s="24" t="s">
        <v>388</v>
      </c>
    </row>
    <row r="105" spans="1:11" x14ac:dyDescent="0.3">
      <c r="A105" s="24" t="s">
        <v>58</v>
      </c>
      <c r="B105" s="24" t="s">
        <v>50</v>
      </c>
      <c r="C105" s="24" t="s">
        <v>5</v>
      </c>
      <c r="D105" s="24" t="s">
        <v>144</v>
      </c>
      <c r="E105" s="24" t="s">
        <v>100</v>
      </c>
      <c r="F105" s="24" t="s">
        <v>382</v>
      </c>
      <c r="G105" s="24" t="s">
        <v>358</v>
      </c>
      <c r="H105" s="25">
        <v>780</v>
      </c>
      <c r="I105" s="25">
        <v>3900</v>
      </c>
      <c r="J105" s="26" t="s">
        <v>383</v>
      </c>
      <c r="K105" s="24" t="s">
        <v>389</v>
      </c>
    </row>
    <row r="106" spans="1:11" x14ac:dyDescent="0.3">
      <c r="A106" s="24" t="s">
        <v>58</v>
      </c>
      <c r="B106" s="24" t="s">
        <v>50</v>
      </c>
      <c r="C106" s="24" t="s">
        <v>6</v>
      </c>
      <c r="D106" s="24" t="s">
        <v>144</v>
      </c>
      <c r="E106" s="24" t="s">
        <v>100</v>
      </c>
      <c r="F106" s="24" t="s">
        <v>390</v>
      </c>
      <c r="G106" s="24" t="s">
        <v>358</v>
      </c>
      <c r="H106" s="25">
        <v>747</v>
      </c>
      <c r="I106" s="25">
        <v>3735</v>
      </c>
      <c r="J106" s="26" t="s">
        <v>391</v>
      </c>
      <c r="K106" s="24" t="s">
        <v>392</v>
      </c>
    </row>
    <row r="107" spans="1:11" x14ac:dyDescent="0.3">
      <c r="A107" s="24" t="s">
        <v>61</v>
      </c>
      <c r="B107" s="24" t="s">
        <v>15</v>
      </c>
      <c r="C107" s="24" t="s">
        <v>4</v>
      </c>
      <c r="D107" s="24" t="s">
        <v>144</v>
      </c>
      <c r="E107" s="24" t="s">
        <v>100</v>
      </c>
      <c r="F107" s="24" t="s">
        <v>393</v>
      </c>
      <c r="G107" s="24" t="s">
        <v>34</v>
      </c>
      <c r="H107" s="25">
        <v>70</v>
      </c>
      <c r="I107" s="25">
        <v>14</v>
      </c>
      <c r="J107" s="26" t="s">
        <v>394</v>
      </c>
      <c r="K107" s="24" t="s">
        <v>395</v>
      </c>
    </row>
    <row r="108" spans="1:11" x14ac:dyDescent="0.3">
      <c r="A108" s="24" t="s">
        <v>61</v>
      </c>
      <c r="B108" s="24" t="s">
        <v>15</v>
      </c>
      <c r="C108" s="24" t="s">
        <v>5</v>
      </c>
      <c r="D108" s="24" t="s">
        <v>144</v>
      </c>
      <c r="E108" s="24" t="s">
        <v>100</v>
      </c>
      <c r="F108" s="24" t="s">
        <v>396</v>
      </c>
      <c r="G108" s="24" t="s">
        <v>34</v>
      </c>
      <c r="H108" s="25">
        <v>178</v>
      </c>
      <c r="I108" s="25">
        <v>35.6</v>
      </c>
      <c r="J108" s="26" t="s">
        <v>397</v>
      </c>
      <c r="K108" s="24" t="s">
        <v>398</v>
      </c>
    </row>
    <row r="109" spans="1:11" x14ac:dyDescent="0.3">
      <c r="A109" s="24" t="s">
        <v>61</v>
      </c>
      <c r="B109" s="24" t="s">
        <v>15</v>
      </c>
      <c r="C109" s="24" t="s">
        <v>6</v>
      </c>
      <c r="D109" s="24" t="s">
        <v>144</v>
      </c>
      <c r="E109" s="24" t="s">
        <v>100</v>
      </c>
      <c r="F109" s="24" t="s">
        <v>399</v>
      </c>
      <c r="G109" s="24" t="s">
        <v>34</v>
      </c>
      <c r="H109" s="25">
        <v>70</v>
      </c>
      <c r="I109" s="25">
        <v>14</v>
      </c>
      <c r="J109" s="26" t="s">
        <v>400</v>
      </c>
      <c r="K109" s="24" t="s">
        <v>401</v>
      </c>
    </row>
    <row r="110" spans="1:11" x14ac:dyDescent="0.3">
      <c r="A110" s="24" t="s">
        <v>63</v>
      </c>
      <c r="B110" s="24" t="s">
        <v>15</v>
      </c>
      <c r="C110" s="24" t="s">
        <v>4</v>
      </c>
      <c r="D110" s="24" t="s">
        <v>144</v>
      </c>
      <c r="E110" s="24" t="s">
        <v>100</v>
      </c>
      <c r="F110" s="24" t="s">
        <v>402</v>
      </c>
      <c r="G110" s="24" t="s">
        <v>336</v>
      </c>
      <c r="H110" s="25">
        <v>168</v>
      </c>
      <c r="I110" s="25">
        <v>16.8</v>
      </c>
      <c r="J110" s="26" t="s">
        <v>403</v>
      </c>
      <c r="K110" s="24" t="s">
        <v>404</v>
      </c>
    </row>
    <row r="111" spans="1:11" x14ac:dyDescent="0.3">
      <c r="A111" s="24" t="s">
        <v>63</v>
      </c>
      <c r="B111" s="24" t="s">
        <v>15</v>
      </c>
      <c r="C111" s="24" t="s">
        <v>5</v>
      </c>
      <c r="D111" s="24" t="s">
        <v>144</v>
      </c>
      <c r="E111" s="24" t="s">
        <v>100</v>
      </c>
      <c r="F111" s="24" t="s">
        <v>405</v>
      </c>
      <c r="G111" s="24" t="s">
        <v>336</v>
      </c>
      <c r="H111" s="25">
        <v>230</v>
      </c>
      <c r="I111" s="25">
        <v>23</v>
      </c>
      <c r="J111" s="26" t="s">
        <v>406</v>
      </c>
      <c r="K111" s="24" t="s">
        <v>407</v>
      </c>
    </row>
    <row r="112" spans="1:11" x14ac:dyDescent="0.3">
      <c r="A112" s="24" t="s">
        <v>63</v>
      </c>
      <c r="B112" s="24" t="s">
        <v>15</v>
      </c>
      <c r="C112" s="24" t="s">
        <v>6</v>
      </c>
      <c r="D112" s="24" t="s">
        <v>144</v>
      </c>
      <c r="E112" s="24" t="s">
        <v>100</v>
      </c>
      <c r="F112" s="24" t="s">
        <v>408</v>
      </c>
      <c r="G112" s="24" t="s">
        <v>336</v>
      </c>
      <c r="H112" s="25">
        <v>180</v>
      </c>
      <c r="I112" s="25">
        <v>18</v>
      </c>
      <c r="J112" s="26" t="s">
        <v>409</v>
      </c>
      <c r="K112" s="24" t="s">
        <v>410</v>
      </c>
    </row>
    <row r="113" spans="1:11" x14ac:dyDescent="0.3">
      <c r="A113" s="24" t="s">
        <v>65</v>
      </c>
      <c r="B113" s="24" t="s">
        <v>15</v>
      </c>
      <c r="C113" s="24" t="s">
        <v>4</v>
      </c>
      <c r="D113" s="24" t="s">
        <v>144</v>
      </c>
      <c r="E113" s="24" t="s">
        <v>100</v>
      </c>
      <c r="F113" s="24" t="s">
        <v>411</v>
      </c>
      <c r="G113" s="24" t="s">
        <v>336</v>
      </c>
      <c r="H113" s="25">
        <v>150</v>
      </c>
      <c r="I113" s="25">
        <v>15</v>
      </c>
      <c r="J113" s="26" t="s">
        <v>412</v>
      </c>
      <c r="K113" s="24" t="s">
        <v>413</v>
      </c>
    </row>
    <row r="114" spans="1:11" x14ac:dyDescent="0.3">
      <c r="A114" s="24" t="s">
        <v>65</v>
      </c>
      <c r="B114" s="24" t="s">
        <v>15</v>
      </c>
      <c r="C114" s="24" t="s">
        <v>5</v>
      </c>
      <c r="D114" s="24" t="s">
        <v>144</v>
      </c>
      <c r="E114" s="24" t="s">
        <v>100</v>
      </c>
      <c r="F114" s="24" t="s">
        <v>414</v>
      </c>
      <c r="G114" s="24" t="s">
        <v>336</v>
      </c>
      <c r="H114" s="25">
        <v>142</v>
      </c>
      <c r="I114" s="25">
        <v>14.2</v>
      </c>
      <c r="J114" s="26" t="s">
        <v>415</v>
      </c>
      <c r="K114" s="24" t="s">
        <v>416</v>
      </c>
    </row>
    <row r="115" spans="1:11" x14ac:dyDescent="0.3">
      <c r="A115" s="24" t="s">
        <v>65</v>
      </c>
      <c r="B115" s="24" t="s">
        <v>15</v>
      </c>
      <c r="C115" s="24" t="s">
        <v>6</v>
      </c>
      <c r="D115" s="24" t="s">
        <v>144</v>
      </c>
      <c r="E115" s="24" t="s">
        <v>100</v>
      </c>
      <c r="F115" s="24" t="s">
        <v>417</v>
      </c>
      <c r="G115" s="24" t="s">
        <v>336</v>
      </c>
      <c r="H115" s="25">
        <v>120</v>
      </c>
      <c r="I115" s="25">
        <v>12</v>
      </c>
      <c r="J115" s="26" t="s">
        <v>418</v>
      </c>
      <c r="K115" s="24" t="s">
        <v>419</v>
      </c>
    </row>
    <row r="116" spans="1:11" x14ac:dyDescent="0.3">
      <c r="A116" s="24" t="s">
        <v>66</v>
      </c>
      <c r="B116" s="24" t="s">
        <v>15</v>
      </c>
      <c r="C116" s="24" t="s">
        <v>4</v>
      </c>
      <c r="D116" s="24" t="s">
        <v>144</v>
      </c>
      <c r="E116" s="24" t="s">
        <v>100</v>
      </c>
      <c r="F116" s="24" t="s">
        <v>420</v>
      </c>
      <c r="G116" s="24" t="s">
        <v>336</v>
      </c>
      <c r="H116" s="25">
        <v>133</v>
      </c>
      <c r="I116" s="25">
        <v>13.3</v>
      </c>
      <c r="J116" s="26" t="s">
        <v>421</v>
      </c>
      <c r="K116" s="24" t="s">
        <v>422</v>
      </c>
    </row>
    <row r="117" spans="1:11" x14ac:dyDescent="0.3">
      <c r="A117" s="24" t="s">
        <v>66</v>
      </c>
      <c r="B117" s="24" t="s">
        <v>15</v>
      </c>
      <c r="C117" s="24" t="s">
        <v>5</v>
      </c>
      <c r="D117" s="24" t="s">
        <v>144</v>
      </c>
      <c r="E117" s="24" t="s">
        <v>100</v>
      </c>
      <c r="F117" s="24" t="s">
        <v>423</v>
      </c>
      <c r="G117" s="24" t="s">
        <v>336</v>
      </c>
      <c r="H117" s="25">
        <v>147</v>
      </c>
      <c r="I117" s="25">
        <v>14.7</v>
      </c>
      <c r="J117" s="26" t="s">
        <v>424</v>
      </c>
      <c r="K117" s="24" t="s">
        <v>425</v>
      </c>
    </row>
    <row r="118" spans="1:11" x14ac:dyDescent="0.3">
      <c r="A118" s="24" t="s">
        <v>66</v>
      </c>
      <c r="B118" s="24" t="s">
        <v>15</v>
      </c>
      <c r="C118" s="24" t="s">
        <v>6</v>
      </c>
      <c r="D118" s="24" t="s">
        <v>144</v>
      </c>
      <c r="E118" s="24" t="s">
        <v>100</v>
      </c>
      <c r="F118" s="24" t="s">
        <v>426</v>
      </c>
      <c r="G118" s="24" t="s">
        <v>336</v>
      </c>
      <c r="H118" s="25">
        <v>137</v>
      </c>
      <c r="I118" s="25">
        <v>13.7</v>
      </c>
      <c r="J118" s="26" t="s">
        <v>427</v>
      </c>
      <c r="K118" s="24" t="s">
        <v>428</v>
      </c>
    </row>
    <row r="119" spans="1:11" x14ac:dyDescent="0.3">
      <c r="A119" s="24" t="s">
        <v>67</v>
      </c>
      <c r="B119" s="24" t="s">
        <v>15</v>
      </c>
      <c r="C119" s="24" t="s">
        <v>4</v>
      </c>
      <c r="D119" s="24" t="s">
        <v>144</v>
      </c>
      <c r="E119" s="24" t="s">
        <v>100</v>
      </c>
      <c r="F119" s="24" t="s">
        <v>429</v>
      </c>
      <c r="G119" s="24" t="s">
        <v>336</v>
      </c>
      <c r="H119" s="25">
        <v>180</v>
      </c>
      <c r="I119" s="25">
        <v>18</v>
      </c>
      <c r="J119" s="26" t="s">
        <v>430</v>
      </c>
      <c r="K119" s="24" t="s">
        <v>431</v>
      </c>
    </row>
    <row r="120" spans="1:11" x14ac:dyDescent="0.3">
      <c r="A120" s="24" t="s">
        <v>67</v>
      </c>
      <c r="B120" s="24" t="s">
        <v>15</v>
      </c>
      <c r="C120" s="24" t="s">
        <v>5</v>
      </c>
      <c r="D120" s="24" t="s">
        <v>144</v>
      </c>
      <c r="E120" s="24" t="s">
        <v>100</v>
      </c>
      <c r="F120" s="24" t="s">
        <v>432</v>
      </c>
      <c r="G120" s="24" t="s">
        <v>336</v>
      </c>
      <c r="H120" s="25">
        <v>160</v>
      </c>
      <c r="I120" s="25">
        <v>16</v>
      </c>
      <c r="J120" s="26" t="s">
        <v>433</v>
      </c>
      <c r="K120" s="24" t="s">
        <v>434</v>
      </c>
    </row>
    <row r="121" spans="1:11" x14ac:dyDescent="0.3">
      <c r="A121" s="24" t="s">
        <v>67</v>
      </c>
      <c r="B121" s="24" t="s">
        <v>15</v>
      </c>
      <c r="C121" s="24" t="s">
        <v>6</v>
      </c>
      <c r="D121" s="24" t="s">
        <v>144</v>
      </c>
      <c r="E121" s="24" t="s">
        <v>100</v>
      </c>
      <c r="F121" s="24" t="s">
        <v>435</v>
      </c>
      <c r="G121" s="24" t="s">
        <v>336</v>
      </c>
      <c r="H121" s="25">
        <v>159.30000000000001</v>
      </c>
      <c r="I121" s="25">
        <v>15.93</v>
      </c>
      <c r="J121" s="26" t="s">
        <v>436</v>
      </c>
      <c r="K121" s="24" t="s">
        <v>437</v>
      </c>
    </row>
    <row r="122" spans="1:11" x14ac:dyDescent="0.3">
      <c r="A122" s="24" t="s">
        <v>68</v>
      </c>
      <c r="B122" s="24" t="s">
        <v>15</v>
      </c>
      <c r="C122" s="24" t="s">
        <v>4</v>
      </c>
      <c r="D122" s="24" t="s">
        <v>99</v>
      </c>
      <c r="E122" s="24" t="s">
        <v>100</v>
      </c>
      <c r="F122" s="24" t="s">
        <v>438</v>
      </c>
      <c r="G122" s="24" t="s">
        <v>15</v>
      </c>
      <c r="H122" s="25">
        <v>198</v>
      </c>
      <c r="I122" s="25">
        <v>198</v>
      </c>
      <c r="J122" s="26" t="s">
        <v>439</v>
      </c>
      <c r="K122" s="24" t="s">
        <v>440</v>
      </c>
    </row>
    <row r="123" spans="1:11" x14ac:dyDescent="0.3">
      <c r="A123" s="24" t="s">
        <v>68</v>
      </c>
      <c r="B123" s="24" t="s">
        <v>15</v>
      </c>
      <c r="C123" s="24" t="s">
        <v>5</v>
      </c>
      <c r="D123" s="24" t="s">
        <v>99</v>
      </c>
      <c r="E123" s="24" t="s">
        <v>100</v>
      </c>
      <c r="F123" s="24" t="s">
        <v>441</v>
      </c>
      <c r="G123" s="24" t="s">
        <v>15</v>
      </c>
      <c r="H123" s="25">
        <v>42</v>
      </c>
      <c r="I123" s="25">
        <v>42</v>
      </c>
      <c r="J123" s="26" t="s">
        <v>442</v>
      </c>
      <c r="K123" s="24" t="s">
        <v>443</v>
      </c>
    </row>
    <row r="124" spans="1:11" x14ac:dyDescent="0.3">
      <c r="A124" s="24" t="s">
        <v>68</v>
      </c>
      <c r="B124" s="24" t="s">
        <v>15</v>
      </c>
      <c r="C124" s="24" t="s">
        <v>6</v>
      </c>
      <c r="D124" s="24" t="s">
        <v>99</v>
      </c>
      <c r="E124" s="24" t="s">
        <v>351</v>
      </c>
      <c r="F124" s="24" t="s">
        <v>444</v>
      </c>
      <c r="G124" s="24" t="s">
        <v>15</v>
      </c>
      <c r="H124" s="25">
        <v>50</v>
      </c>
      <c r="I124" s="25">
        <v>50</v>
      </c>
      <c r="J124" s="26" t="s">
        <v>445</v>
      </c>
      <c r="K124" s="24" t="s">
        <v>446</v>
      </c>
    </row>
    <row r="125" spans="1:11" x14ac:dyDescent="0.3">
      <c r="A125" s="24" t="s">
        <v>70</v>
      </c>
      <c r="B125" s="24" t="s">
        <v>15</v>
      </c>
      <c r="C125" s="24" t="s">
        <v>4</v>
      </c>
      <c r="D125" s="24" t="s">
        <v>144</v>
      </c>
      <c r="E125" s="24" t="s">
        <v>100</v>
      </c>
      <c r="F125" s="24" t="s">
        <v>447</v>
      </c>
      <c r="G125" s="24" t="s">
        <v>201</v>
      </c>
      <c r="H125" s="25">
        <v>151</v>
      </c>
      <c r="I125" s="25">
        <v>75.5</v>
      </c>
      <c r="J125" s="26" t="s">
        <v>448</v>
      </c>
      <c r="K125" s="24" t="s">
        <v>449</v>
      </c>
    </row>
    <row r="126" spans="1:11" x14ac:dyDescent="0.3">
      <c r="A126" s="24" t="s">
        <v>70</v>
      </c>
      <c r="B126" s="24" t="s">
        <v>15</v>
      </c>
      <c r="C126" s="24" t="s">
        <v>5</v>
      </c>
      <c r="D126" s="24" t="s">
        <v>144</v>
      </c>
      <c r="E126" s="24" t="s">
        <v>100</v>
      </c>
      <c r="F126" s="24" t="s">
        <v>450</v>
      </c>
      <c r="G126" s="24" t="s">
        <v>451</v>
      </c>
      <c r="H126" s="25">
        <v>300</v>
      </c>
      <c r="I126" s="25">
        <v>66.67</v>
      </c>
      <c r="J126" s="26" t="s">
        <v>452</v>
      </c>
      <c r="K126" s="24" t="s">
        <v>453</v>
      </c>
    </row>
    <row r="127" spans="1:11" x14ac:dyDescent="0.3">
      <c r="A127" s="24" t="s">
        <v>70</v>
      </c>
      <c r="B127" s="24" t="s">
        <v>15</v>
      </c>
      <c r="C127" s="24" t="s">
        <v>6</v>
      </c>
      <c r="D127" s="24" t="s">
        <v>134</v>
      </c>
      <c r="E127" s="24"/>
      <c r="F127" s="24" t="s">
        <v>454</v>
      </c>
      <c r="G127" s="24" t="s">
        <v>451</v>
      </c>
      <c r="H127" s="25">
        <v>109</v>
      </c>
      <c r="I127" s="25"/>
      <c r="J127" s="26" t="s">
        <v>455</v>
      </c>
      <c r="K127" s="24" t="s">
        <v>456</v>
      </c>
    </row>
    <row r="128" spans="1:11" x14ac:dyDescent="0.3">
      <c r="A128" s="24" t="s">
        <v>72</v>
      </c>
      <c r="B128" s="24" t="s">
        <v>15</v>
      </c>
      <c r="C128" s="24" t="s">
        <v>4</v>
      </c>
      <c r="D128" s="24" t="s">
        <v>144</v>
      </c>
      <c r="E128" s="24" t="s">
        <v>100</v>
      </c>
      <c r="F128" s="24" t="s">
        <v>457</v>
      </c>
      <c r="G128" s="24" t="s">
        <v>336</v>
      </c>
      <c r="H128" s="25">
        <v>294</v>
      </c>
      <c r="I128" s="25">
        <v>29.4</v>
      </c>
      <c r="J128" s="26" t="s">
        <v>458</v>
      </c>
      <c r="K128" s="24" t="s">
        <v>459</v>
      </c>
    </row>
    <row r="129" spans="1:11" x14ac:dyDescent="0.3">
      <c r="A129" s="24" t="s">
        <v>72</v>
      </c>
      <c r="B129" s="24" t="s">
        <v>15</v>
      </c>
      <c r="C129" s="24" t="s">
        <v>5</v>
      </c>
      <c r="D129" s="24" t="s">
        <v>144</v>
      </c>
      <c r="E129" s="24" t="s">
        <v>100</v>
      </c>
      <c r="F129" s="24" t="s">
        <v>460</v>
      </c>
      <c r="G129" s="24" t="s">
        <v>336</v>
      </c>
      <c r="H129" s="25">
        <v>499</v>
      </c>
      <c r="I129" s="25">
        <v>49.9</v>
      </c>
      <c r="J129" s="26" t="s">
        <v>461</v>
      </c>
      <c r="K129" s="24" t="s">
        <v>462</v>
      </c>
    </row>
    <row r="130" spans="1:11" x14ac:dyDescent="0.3">
      <c r="A130" s="24" t="s">
        <v>72</v>
      </c>
      <c r="B130" s="24" t="s">
        <v>15</v>
      </c>
      <c r="C130" s="24" t="s">
        <v>6</v>
      </c>
      <c r="D130" s="24" t="s">
        <v>134</v>
      </c>
      <c r="E130" s="24"/>
      <c r="F130" s="24"/>
      <c r="G130" s="24"/>
      <c r="H130" s="25"/>
      <c r="I130" s="25"/>
      <c r="J130" s="26" t="s">
        <v>463</v>
      </c>
      <c r="K130" s="24" t="s">
        <v>464</v>
      </c>
    </row>
    <row r="131" spans="1:11" x14ac:dyDescent="0.3">
      <c r="A131" s="24" t="s">
        <v>74</v>
      </c>
      <c r="B131" s="24" t="s">
        <v>15</v>
      </c>
      <c r="C131" s="24" t="s">
        <v>4</v>
      </c>
      <c r="D131" s="24" t="s">
        <v>144</v>
      </c>
      <c r="E131" s="24" t="s">
        <v>100</v>
      </c>
      <c r="F131" s="24" t="s">
        <v>465</v>
      </c>
      <c r="G131" s="24" t="s">
        <v>34</v>
      </c>
      <c r="H131" s="25">
        <v>228</v>
      </c>
      <c r="I131" s="25">
        <v>45.6</v>
      </c>
      <c r="J131" s="26" t="s">
        <v>466</v>
      </c>
      <c r="K131" s="24" t="s">
        <v>467</v>
      </c>
    </row>
    <row r="132" spans="1:11" x14ac:dyDescent="0.3">
      <c r="A132" s="24" t="s">
        <v>74</v>
      </c>
      <c r="B132" s="24" t="s">
        <v>15</v>
      </c>
      <c r="C132" s="24" t="s">
        <v>5</v>
      </c>
      <c r="D132" s="24" t="s">
        <v>99</v>
      </c>
      <c r="E132" s="24" t="s">
        <v>100</v>
      </c>
      <c r="F132" s="24" t="s">
        <v>468</v>
      </c>
      <c r="G132" s="24" t="s">
        <v>15</v>
      </c>
      <c r="H132" s="25">
        <v>120</v>
      </c>
      <c r="I132" s="25">
        <v>120</v>
      </c>
      <c r="J132" s="26" t="s">
        <v>469</v>
      </c>
      <c r="K132" s="24" t="s">
        <v>470</v>
      </c>
    </row>
    <row r="133" spans="1:11" x14ac:dyDescent="0.3">
      <c r="A133" s="24" t="s">
        <v>74</v>
      </c>
      <c r="B133" s="24" t="s">
        <v>15</v>
      </c>
      <c r="C133" s="24" t="s">
        <v>6</v>
      </c>
      <c r="D133" s="24" t="s">
        <v>134</v>
      </c>
      <c r="E133" s="24"/>
      <c r="F133" s="24"/>
      <c r="G133" s="24"/>
      <c r="H133" s="25"/>
      <c r="I133" s="25"/>
      <c r="J133" s="26" t="s">
        <v>471</v>
      </c>
      <c r="K133" s="24" t="s">
        <v>472</v>
      </c>
    </row>
    <row r="134" spans="1:11" x14ac:dyDescent="0.3">
      <c r="A134" s="24" t="s">
        <v>75</v>
      </c>
      <c r="B134" s="24" t="s">
        <v>15</v>
      </c>
      <c r="C134" s="24" t="s">
        <v>4</v>
      </c>
      <c r="D134" s="24" t="s">
        <v>144</v>
      </c>
      <c r="E134" s="24" t="s">
        <v>100</v>
      </c>
      <c r="F134" s="24" t="s">
        <v>473</v>
      </c>
      <c r="G134" s="24" t="s">
        <v>474</v>
      </c>
      <c r="H134" s="25">
        <v>250</v>
      </c>
      <c r="I134" s="25">
        <v>27.78</v>
      </c>
      <c r="J134" s="26" t="s">
        <v>475</v>
      </c>
      <c r="K134" s="24" t="s">
        <v>476</v>
      </c>
    </row>
    <row r="135" spans="1:11" x14ac:dyDescent="0.3">
      <c r="A135" s="24" t="s">
        <v>75</v>
      </c>
      <c r="B135" s="24" t="s">
        <v>15</v>
      </c>
      <c r="C135" s="24" t="s">
        <v>5</v>
      </c>
      <c r="D135" s="24" t="s">
        <v>144</v>
      </c>
      <c r="E135" s="24" t="s">
        <v>100</v>
      </c>
      <c r="F135" s="24" t="s">
        <v>477</v>
      </c>
      <c r="G135" s="24" t="s">
        <v>336</v>
      </c>
      <c r="H135" s="25">
        <v>94</v>
      </c>
      <c r="I135" s="25">
        <v>9.4</v>
      </c>
      <c r="J135" s="26" t="s">
        <v>478</v>
      </c>
      <c r="K135" s="24" t="s">
        <v>479</v>
      </c>
    </row>
    <row r="136" spans="1:11" x14ac:dyDescent="0.3">
      <c r="A136" s="24" t="s">
        <v>75</v>
      </c>
      <c r="B136" s="24" t="s">
        <v>15</v>
      </c>
      <c r="C136" s="24" t="s">
        <v>6</v>
      </c>
      <c r="D136" s="24" t="s">
        <v>134</v>
      </c>
      <c r="E136" s="24"/>
      <c r="F136" s="24"/>
      <c r="G136" s="24"/>
      <c r="H136" s="25"/>
      <c r="I136" s="25"/>
      <c r="J136" s="26" t="s">
        <v>471</v>
      </c>
      <c r="K136" s="24" t="s">
        <v>480</v>
      </c>
    </row>
  </sheetData>
  <autoFilter ref="A1:K136" xr:uid="{00000000-0009-0000-0000-000002000000}"/>
  <hyperlinks>
    <hyperlink ref="J2" r:id="rId1" xr:uid="{00000000-0004-0000-0200-000000000000}"/>
    <hyperlink ref="J3" r:id="rId2" xr:uid="{00000000-0004-0000-0200-000001000000}"/>
    <hyperlink ref="J4" r:id="rId3" xr:uid="{00000000-0004-0000-0200-000002000000}"/>
    <hyperlink ref="J5" r:id="rId4" xr:uid="{00000000-0004-0000-0200-000003000000}"/>
    <hyperlink ref="J6" r:id="rId5" xr:uid="{00000000-0004-0000-0200-000004000000}"/>
    <hyperlink ref="J7" r:id="rId6" xr:uid="{00000000-0004-0000-0200-000005000000}"/>
    <hyperlink ref="J8" r:id="rId7" xr:uid="{00000000-0004-0000-0200-000006000000}"/>
    <hyperlink ref="J9" r:id="rId8" xr:uid="{00000000-0004-0000-0200-000007000000}"/>
    <hyperlink ref="J10" r:id="rId9" xr:uid="{00000000-0004-0000-0200-000008000000}"/>
    <hyperlink ref="J11" r:id="rId10" xr:uid="{00000000-0004-0000-0200-000009000000}"/>
    <hyperlink ref="J12" r:id="rId11" xr:uid="{00000000-0004-0000-0200-00000A000000}"/>
    <hyperlink ref="J13" r:id="rId12" xr:uid="{00000000-0004-0000-0200-00000B000000}"/>
    <hyperlink ref="J14" r:id="rId13" xr:uid="{00000000-0004-0000-0200-00000C000000}"/>
    <hyperlink ref="J15" r:id="rId14" xr:uid="{00000000-0004-0000-0200-00000D000000}"/>
    <hyperlink ref="J16" r:id="rId15" xr:uid="{00000000-0004-0000-0200-00000E000000}"/>
    <hyperlink ref="J17" r:id="rId16" xr:uid="{00000000-0004-0000-0200-00000F000000}"/>
    <hyperlink ref="J18" r:id="rId17" xr:uid="{00000000-0004-0000-0200-000010000000}"/>
    <hyperlink ref="J19" r:id="rId18" xr:uid="{00000000-0004-0000-0200-000011000000}"/>
    <hyperlink ref="J20" r:id="rId19" xr:uid="{00000000-0004-0000-0200-000012000000}"/>
    <hyperlink ref="J21" r:id="rId20" xr:uid="{00000000-0004-0000-0200-000013000000}"/>
    <hyperlink ref="J22" r:id="rId21" xr:uid="{00000000-0004-0000-0200-000014000000}"/>
    <hyperlink ref="J23" r:id="rId22" xr:uid="{00000000-0004-0000-0200-000015000000}"/>
    <hyperlink ref="J24" r:id="rId23" xr:uid="{00000000-0004-0000-0200-000016000000}"/>
    <hyperlink ref="J25" r:id="rId24" xr:uid="{00000000-0004-0000-0200-000017000000}"/>
    <hyperlink ref="J26" r:id="rId25" xr:uid="{00000000-0004-0000-0200-000018000000}"/>
    <hyperlink ref="J27" r:id="rId26" xr:uid="{00000000-0004-0000-0200-000019000000}"/>
    <hyperlink ref="J28" r:id="rId27" xr:uid="{00000000-0004-0000-0200-00001A000000}"/>
    <hyperlink ref="J29" r:id="rId28" xr:uid="{00000000-0004-0000-0200-00001B000000}"/>
    <hyperlink ref="J30" r:id="rId29" xr:uid="{00000000-0004-0000-0200-00001C000000}"/>
    <hyperlink ref="J31" r:id="rId30" xr:uid="{00000000-0004-0000-0200-00001D000000}"/>
    <hyperlink ref="J32" r:id="rId31" xr:uid="{00000000-0004-0000-0200-00001E000000}"/>
    <hyperlink ref="J33" r:id="rId32" xr:uid="{00000000-0004-0000-0200-00001F000000}"/>
    <hyperlink ref="J34" r:id="rId33" xr:uid="{00000000-0004-0000-0200-000020000000}"/>
    <hyperlink ref="J35" r:id="rId34" xr:uid="{00000000-0004-0000-0200-000021000000}"/>
    <hyperlink ref="J36" r:id="rId35" xr:uid="{00000000-0004-0000-0200-000022000000}"/>
    <hyperlink ref="J37" r:id="rId36" xr:uid="{00000000-0004-0000-0200-000023000000}"/>
    <hyperlink ref="J38" r:id="rId37" xr:uid="{00000000-0004-0000-0200-000024000000}"/>
    <hyperlink ref="J39" r:id="rId38" xr:uid="{00000000-0004-0000-0200-000025000000}"/>
    <hyperlink ref="J40" r:id="rId39" xr:uid="{00000000-0004-0000-0200-000026000000}"/>
    <hyperlink ref="J41" r:id="rId40" xr:uid="{00000000-0004-0000-0200-000027000000}"/>
    <hyperlink ref="J42" r:id="rId41" xr:uid="{00000000-0004-0000-0200-000028000000}"/>
    <hyperlink ref="J43" r:id="rId42" xr:uid="{00000000-0004-0000-0200-000029000000}"/>
    <hyperlink ref="J44" r:id="rId43" xr:uid="{00000000-0004-0000-0200-00002A000000}"/>
    <hyperlink ref="J45" r:id="rId44" xr:uid="{00000000-0004-0000-0200-00002B000000}"/>
    <hyperlink ref="J46" r:id="rId45" xr:uid="{00000000-0004-0000-0200-00002C000000}"/>
    <hyperlink ref="J47" r:id="rId46" xr:uid="{00000000-0004-0000-0200-00002D000000}"/>
    <hyperlink ref="J48" r:id="rId47" xr:uid="{00000000-0004-0000-0200-00002E000000}"/>
    <hyperlink ref="J49" r:id="rId48" xr:uid="{00000000-0004-0000-0200-00002F000000}"/>
    <hyperlink ref="J50" r:id="rId49" xr:uid="{00000000-0004-0000-0200-000030000000}"/>
    <hyperlink ref="J51" r:id="rId50" xr:uid="{00000000-0004-0000-0200-000031000000}"/>
    <hyperlink ref="J52" r:id="rId51" xr:uid="{00000000-0004-0000-0200-000032000000}"/>
    <hyperlink ref="J53" r:id="rId52" xr:uid="{00000000-0004-0000-0200-000033000000}"/>
    <hyperlink ref="J54" r:id="rId53" xr:uid="{00000000-0004-0000-0200-000034000000}"/>
    <hyperlink ref="J55" r:id="rId54" xr:uid="{00000000-0004-0000-0200-000035000000}"/>
    <hyperlink ref="J56" r:id="rId55" xr:uid="{00000000-0004-0000-0200-000036000000}"/>
    <hyperlink ref="J57" r:id="rId56" xr:uid="{00000000-0004-0000-0200-000037000000}"/>
    <hyperlink ref="J58" r:id="rId57" xr:uid="{00000000-0004-0000-0200-000038000000}"/>
    <hyperlink ref="J59" r:id="rId58" xr:uid="{00000000-0004-0000-0200-000039000000}"/>
    <hyperlink ref="J60" r:id="rId59" xr:uid="{00000000-0004-0000-0200-00003A000000}"/>
    <hyperlink ref="J61" r:id="rId60" xr:uid="{00000000-0004-0000-0200-00003B000000}"/>
    <hyperlink ref="J62" r:id="rId61" xr:uid="{00000000-0004-0000-0200-00003C000000}"/>
    <hyperlink ref="J63" r:id="rId62" xr:uid="{00000000-0004-0000-0200-00003D000000}"/>
    <hyperlink ref="J64" r:id="rId63" xr:uid="{00000000-0004-0000-0200-00003E000000}"/>
    <hyperlink ref="J65" r:id="rId64" xr:uid="{00000000-0004-0000-0200-00003F000000}"/>
    <hyperlink ref="J66" r:id="rId65" xr:uid="{00000000-0004-0000-0200-000040000000}"/>
    <hyperlink ref="J67" r:id="rId66" xr:uid="{00000000-0004-0000-0200-000041000000}"/>
    <hyperlink ref="J68" r:id="rId67" xr:uid="{00000000-0004-0000-0200-000042000000}"/>
    <hyperlink ref="J69" r:id="rId68" xr:uid="{00000000-0004-0000-0200-000043000000}"/>
    <hyperlink ref="J70" r:id="rId69" xr:uid="{00000000-0004-0000-0200-000044000000}"/>
    <hyperlink ref="J71" r:id="rId70" xr:uid="{00000000-0004-0000-0200-000045000000}"/>
    <hyperlink ref="J72" r:id="rId71" xr:uid="{00000000-0004-0000-0200-000046000000}"/>
    <hyperlink ref="J73" r:id="rId72" xr:uid="{00000000-0004-0000-0200-000047000000}"/>
    <hyperlink ref="J74" r:id="rId73" xr:uid="{00000000-0004-0000-0200-000048000000}"/>
    <hyperlink ref="J75" r:id="rId74" xr:uid="{00000000-0004-0000-0200-000049000000}"/>
    <hyperlink ref="J76" r:id="rId75" xr:uid="{00000000-0004-0000-0200-00004A000000}"/>
    <hyperlink ref="J77" r:id="rId76" xr:uid="{00000000-0004-0000-0200-00004B000000}"/>
    <hyperlink ref="J78" r:id="rId77" xr:uid="{00000000-0004-0000-0200-00004C000000}"/>
    <hyperlink ref="J79" r:id="rId78" xr:uid="{00000000-0004-0000-0200-00004D000000}"/>
    <hyperlink ref="J80" r:id="rId79" xr:uid="{00000000-0004-0000-0200-00004E000000}"/>
    <hyperlink ref="J81" r:id="rId80" xr:uid="{00000000-0004-0000-0200-00004F000000}"/>
    <hyperlink ref="J82" r:id="rId81" xr:uid="{00000000-0004-0000-0200-000050000000}"/>
    <hyperlink ref="J83" r:id="rId82" xr:uid="{00000000-0004-0000-0200-000051000000}"/>
    <hyperlink ref="J84" r:id="rId83" xr:uid="{00000000-0004-0000-0200-000052000000}"/>
    <hyperlink ref="J85" r:id="rId84" xr:uid="{00000000-0004-0000-0200-000053000000}"/>
    <hyperlink ref="J86" r:id="rId85" xr:uid="{00000000-0004-0000-0200-000054000000}"/>
    <hyperlink ref="J87" r:id="rId86" xr:uid="{00000000-0004-0000-0200-000055000000}"/>
    <hyperlink ref="J88" r:id="rId87" xr:uid="{00000000-0004-0000-0200-000056000000}"/>
    <hyperlink ref="J89" r:id="rId88" xr:uid="{00000000-0004-0000-0200-000057000000}"/>
    <hyperlink ref="J90" r:id="rId89" xr:uid="{00000000-0004-0000-0200-000058000000}"/>
    <hyperlink ref="J91" r:id="rId90" xr:uid="{00000000-0004-0000-0200-000059000000}"/>
    <hyperlink ref="J92" r:id="rId91" xr:uid="{00000000-0004-0000-0200-00005A000000}"/>
    <hyperlink ref="J93" r:id="rId92" xr:uid="{00000000-0004-0000-0200-00005B000000}"/>
    <hyperlink ref="J94" r:id="rId93" xr:uid="{00000000-0004-0000-0200-00005C000000}"/>
    <hyperlink ref="J95" r:id="rId94" xr:uid="{00000000-0004-0000-0200-00005D000000}"/>
    <hyperlink ref="J96" r:id="rId95" xr:uid="{00000000-0004-0000-0200-00005E000000}"/>
    <hyperlink ref="J97" r:id="rId96" xr:uid="{00000000-0004-0000-0200-00005F000000}"/>
    <hyperlink ref="J98" r:id="rId97" xr:uid="{00000000-0004-0000-0200-000060000000}"/>
    <hyperlink ref="J99" r:id="rId98" xr:uid="{00000000-0004-0000-0200-000061000000}"/>
    <hyperlink ref="J100" r:id="rId99" xr:uid="{00000000-0004-0000-0200-000062000000}"/>
    <hyperlink ref="J101" r:id="rId100" xr:uid="{00000000-0004-0000-0200-000063000000}"/>
    <hyperlink ref="J102" r:id="rId101" xr:uid="{00000000-0004-0000-0200-000064000000}"/>
    <hyperlink ref="J103" r:id="rId102" xr:uid="{00000000-0004-0000-0200-000065000000}"/>
    <hyperlink ref="J104" r:id="rId103" xr:uid="{00000000-0004-0000-0200-000066000000}"/>
    <hyperlink ref="J105" r:id="rId104" xr:uid="{00000000-0004-0000-0200-000067000000}"/>
    <hyperlink ref="J106" r:id="rId105" xr:uid="{00000000-0004-0000-0200-000068000000}"/>
    <hyperlink ref="J107" r:id="rId106" xr:uid="{00000000-0004-0000-0200-000069000000}"/>
    <hyperlink ref="J108" r:id="rId107" xr:uid="{00000000-0004-0000-0200-00006A000000}"/>
    <hyperlink ref="J109" r:id="rId108" xr:uid="{00000000-0004-0000-0200-00006B000000}"/>
    <hyperlink ref="J110" r:id="rId109" xr:uid="{00000000-0004-0000-0200-00006C000000}"/>
    <hyperlink ref="J111" r:id="rId110" xr:uid="{00000000-0004-0000-0200-00006D000000}"/>
    <hyperlink ref="J112" r:id="rId111" xr:uid="{00000000-0004-0000-0200-00006E000000}"/>
    <hyperlink ref="J113" r:id="rId112" xr:uid="{00000000-0004-0000-0200-00006F000000}"/>
    <hyperlink ref="J114" r:id="rId113" xr:uid="{00000000-0004-0000-0200-000070000000}"/>
    <hyperlink ref="J115" r:id="rId114" xr:uid="{00000000-0004-0000-0200-000071000000}"/>
    <hyperlink ref="J116" r:id="rId115" xr:uid="{00000000-0004-0000-0200-000072000000}"/>
    <hyperlink ref="J117" r:id="rId116" xr:uid="{00000000-0004-0000-0200-000073000000}"/>
    <hyperlink ref="J118" r:id="rId117" xr:uid="{00000000-0004-0000-0200-000074000000}"/>
    <hyperlink ref="J119" r:id="rId118" xr:uid="{00000000-0004-0000-0200-000075000000}"/>
    <hyperlink ref="J120" r:id="rId119" xr:uid="{00000000-0004-0000-0200-000076000000}"/>
    <hyperlink ref="J121" r:id="rId120" xr:uid="{00000000-0004-0000-0200-000077000000}"/>
    <hyperlink ref="J122" r:id="rId121" xr:uid="{00000000-0004-0000-0200-000078000000}"/>
    <hyperlink ref="J123" r:id="rId122" xr:uid="{00000000-0004-0000-0200-000079000000}"/>
    <hyperlink ref="J124" r:id="rId123" xr:uid="{00000000-0004-0000-0200-00007A000000}"/>
    <hyperlink ref="J125" r:id="rId124" xr:uid="{00000000-0004-0000-0200-00007B000000}"/>
    <hyperlink ref="J126" r:id="rId125" xr:uid="{00000000-0004-0000-0200-00007C000000}"/>
    <hyperlink ref="J127" r:id="rId126" xr:uid="{00000000-0004-0000-0200-00007D000000}"/>
    <hyperlink ref="J128" r:id="rId127" xr:uid="{00000000-0004-0000-0200-00007E000000}"/>
    <hyperlink ref="J129" r:id="rId128" xr:uid="{00000000-0004-0000-0200-00007F000000}"/>
    <hyperlink ref="J130" r:id="rId129" xr:uid="{00000000-0004-0000-0200-000080000000}"/>
    <hyperlink ref="J131" r:id="rId130" xr:uid="{00000000-0004-0000-0200-000081000000}"/>
    <hyperlink ref="J132" r:id="rId131" xr:uid="{00000000-0004-0000-0200-000082000000}"/>
    <hyperlink ref="J133" r:id="rId132" xr:uid="{00000000-0004-0000-0200-000083000000}"/>
    <hyperlink ref="J134" r:id="rId133" xr:uid="{00000000-0004-0000-0200-000084000000}"/>
    <hyperlink ref="J135" r:id="rId134" xr:uid="{00000000-0004-0000-0200-000085000000}"/>
    <hyperlink ref="J136" r:id="rId135" xr:uid="{00000000-0004-0000-0200-000086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Price Comparison</vt:lpstr>
      <vt:lpstr>Platform Summary</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Devarsh joshi</cp:lastModifiedBy>
  <dcterms:created xsi:type="dcterms:W3CDTF">2026-10-26T08:35:53Z</dcterms:created>
  <dcterms:modified xsi:type="dcterms:W3CDTF">2026-10-26T08:50:54Z</dcterms:modified>
</cp:coreProperties>
</file>